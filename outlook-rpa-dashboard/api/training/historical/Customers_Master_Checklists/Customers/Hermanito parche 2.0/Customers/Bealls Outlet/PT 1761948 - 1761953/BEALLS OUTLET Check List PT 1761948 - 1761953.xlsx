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3" documentId="8_{0EBB2938-9D16-473B-B306-699D55C5D276}" xr6:coauthVersionLast="47" xr6:coauthVersionMax="47" xr10:uidLastSave="{9FD6AE0C-0FDA-41C9-B4F0-8E4E96E67A93}"/>
  <bookViews>
    <workbookView xWindow="28680" yWindow="-18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5" i="1"/>
  <c r="D24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<sst xmlns="http://schemas.openxmlformats.org/spreadsheetml/2006/main" count="90" uniqueCount="63">
  <si>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</si>
  <si>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</si>
  <si>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</si>
  <si>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</si>
  <si>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</si>
  <si>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</si>
  <si>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</si>
  <si>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</si>
  <si>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</si>
  <si>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</si>
  <si>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</si>
  <si>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</si>
  <si>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</si>
  <si>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</si>
  <si>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</si>
  <si>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</si>
  <si>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</si>
  <si>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</si>
  <si>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</si>
  <si>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</si>
  <si>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</si>
  <si>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</si>
  <si>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</si>
  <si>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</si>
  <si>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</si>
  <si>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</si>
  <si>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</si>
  <si>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</si>
  <si>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</si>
  <si>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</si>
  <si>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</si>
  <si>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</si>
  <si>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</si>
  <si>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</si>
  <si>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</si>
  <si>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</si>
  <si>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</si>
  <si>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</si>
  <si>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</si>
  <si>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</si>
  <si>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</si>
  <si>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</si>
  <si>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</si>
  <si>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</si>
  <si>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</si>
  <si>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</si>
  <si>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03STORMY13KP</t>
  </si>
  <si>
    <t>TUA</t>
  </si>
  <si>
    <t>TNA</t>
  </si>
  <si>
    <t>810</t>
  </si>
  <si>
    <t>03STORMY13KP-TUA</t>
  </si>
  <si>
    <t>03STORMY13KP-TNA</t>
  </si>
  <si>
    <t>03STORMY13KP-810</t>
  </si>
  <si>
    <t>1846756</t>
  </si>
  <si>
    <t>1846757</t>
  </si>
  <si>
    <t>1846775</t>
  </si>
  <si>
    <t>1846776</t>
  </si>
  <si>
    <t>1847609</t>
  </si>
  <si>
    <t>1847610</t>
  </si>
  <si>
    <t>Taupe</t>
  </si>
  <si>
    <t>Cozy Platform Clog</t>
  </si>
  <si>
    <t>Tan</t>
  </si>
  <si>
    <t>Cheetah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</si>
</sst>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32" sqref="G3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 t="shared" ref="D20:D23" si="0">B20&amp;"-"&amp;C20</f>
        <v>03STORMY13KP-TUA</v>
      </c>
      <c r="E20" s="54" t="s">
        <v>50</v>
      </c>
      <c r="F20" s="50" t="s">
        <v>59</v>
      </c>
      <c r="G20" s="50" t="s">
        <v>60</v>
      </c>
      <c r="H20" s="50"/>
      <c r="I20" s="54">
        <v>576</v>
      </c>
      <c r="J20" s="78">
        <v>1761948</v>
      </c>
      <c r="K20" s="78" t="s">
        <v>53</v>
      </c>
      <c r="L20" s="50"/>
      <c r="M20" s="85"/>
      <c r="N20" s="70"/>
    </row>
    <row r="21" spans="1:14" ht="14.5" x14ac:dyDescent="0.35">
      <c r="A21" s="69">
        <v>2</v>
      </c>
      <c r="B21" s="54" t="s">
        <v>46</v>
      </c>
      <c r="C21" s="54" t="s">
        <v>47</v>
      </c>
      <c r="D21" s="54" t="str">
        <f t="shared" si="0"/>
        <v>03STORMY13KP-TUA</v>
      </c>
      <c r="E21" s="54" t="s">
        <v>50</v>
      </c>
      <c r="F21" s="50" t="s">
        <v>59</v>
      </c>
      <c r="G21" s="50" t="s">
        <v>60</v>
      </c>
      <c r="H21" s="50"/>
      <c r="I21" s="54">
        <v>324</v>
      </c>
      <c r="J21" s="78">
        <v>1761949</v>
      </c>
      <c r="K21" s="78" t="s">
        <v>54</v>
      </c>
      <c r="L21" s="50"/>
      <c r="M21" s="85"/>
      <c r="N21" s="70"/>
    </row>
    <row r="22" spans="1:14" ht="14.5" x14ac:dyDescent="0.35">
      <c r="A22" s="69">
        <v>3</v>
      </c>
      <c r="B22" s="54" t="s">
        <v>46</v>
      </c>
      <c r="C22" s="54" t="s">
        <v>48</v>
      </c>
      <c r="D22" s="54" t="str">
        <f t="shared" si="0"/>
        <v>03STORMY13KP-TNA</v>
      </c>
      <c r="E22" s="54" t="s">
        <v>51</v>
      </c>
      <c r="F22" s="50" t="s">
        <v>61</v>
      </c>
      <c r="G22" s="50" t="s">
        <v>60</v>
      </c>
      <c r="H22" s="50"/>
      <c r="I22" s="54">
        <v>576</v>
      </c>
      <c r="J22" s="78">
        <v>1761950</v>
      </c>
      <c r="K22" s="78" t="s">
        <v>55</v>
      </c>
      <c r="L22" s="50"/>
      <c r="M22" s="85"/>
      <c r="N22" s="70"/>
    </row>
    <row r="23" spans="1:14" ht="14.5" x14ac:dyDescent="0.35">
      <c r="A23" s="69">
        <v>4</v>
      </c>
      <c r="B23" s="54" t="s">
        <v>46</v>
      </c>
      <c r="C23" s="54" t="s">
        <v>48</v>
      </c>
      <c r="D23" s="54" t="str">
        <f t="shared" si="0"/>
        <v>03STORMY13KP-TNA</v>
      </c>
      <c r="E23" s="54" t="s">
        <v>51</v>
      </c>
      <c r="F23" s="50" t="s">
        <v>61</v>
      </c>
      <c r="G23" s="50" t="s">
        <v>60</v>
      </c>
      <c r="H23" s="50"/>
      <c r="I23" s="54">
        <v>324</v>
      </c>
      <c r="J23" s="78">
        <v>1761951</v>
      </c>
      <c r="K23" s="78" t="s">
        <v>56</v>
      </c>
      <c r="L23" s="50"/>
      <c r="M23" s="85"/>
      <c r="N23" s="70"/>
    </row>
    <row r="24" spans="1:14" ht="14.5" x14ac:dyDescent="0.35">
      <c r="A24" s="69">
        <v>5</v>
      </c>
      <c r="B24" s="54" t="s">
        <v>46</v>
      </c>
      <c r="C24" s="54" t="s">
        <v>49</v>
      </c>
      <c r="D24" s="54" t="str">
        <f>B24&amp;"-"&amp;C24</f>
        <v>03STORMY13KP-810</v>
      </c>
      <c r="E24" s="54" t="s">
        <v>52</v>
      </c>
      <c r="F24" s="50" t="s">
        <v>62</v>
      </c>
      <c r="G24" s="50" t="s">
        <v>60</v>
      </c>
      <c r="H24" s="50"/>
      <c r="I24" s="54">
        <v>816</v>
      </c>
      <c r="J24" s="78">
        <v>1761952</v>
      </c>
      <c r="K24" s="78" t="s">
        <v>57</v>
      </c>
      <c r="L24" s="50"/>
      <c r="M24" s="85"/>
      <c r="N24" s="70"/>
    </row>
    <row r="25" spans="1:14" ht="14.5" x14ac:dyDescent="0.35">
      <c r="A25" s="69">
        <v>6</v>
      </c>
      <c r="B25" s="54" t="s">
        <v>46</v>
      </c>
      <c r="C25" s="54" t="s">
        <v>49</v>
      </c>
      <c r="D25" s="54" t="str">
        <f>B25&amp;"-"&amp;C25</f>
        <v>03STORMY13KP-810</v>
      </c>
      <c r="E25" s="54" t="s">
        <v>52</v>
      </c>
      <c r="F25" s="50" t="s">
        <v>62</v>
      </c>
      <c r="G25" s="50" t="s">
        <v>60</v>
      </c>
      <c r="H25" s="50"/>
      <c r="I25" s="54">
        <v>684</v>
      </c>
      <c r="J25" s="78">
        <v>1761953</v>
      </c>
      <c r="K25" s="78" t="s">
        <v>58</v>
      </c>
      <c r="L25" s="50"/>
      <c r="M25" s="85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50"/>
      <c r="M26" s="85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50"/>
      <c r="M27" s="85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03STORMY13KP-TUA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03STORMY13KP</v>
      </c>
      <c r="C92" s="61" t="str">
        <f>INDEX($A$20:$I$79,$A92,3)</f>
        <v>TUA</v>
      </c>
      <c r="D92" s="17"/>
      <c r="E92" s="60">
        <f>INDEX($A$20:$I$79,$A92,9)</f>
        <v>576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03STORMY13KP-TUA/Taupe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Cozy Platform Clog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4:C25 K20:K25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2026-06-02T17:40:03Z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