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28" documentId="8_{0EBB2938-9D16-473B-B306-699D55C5D276}" xr6:coauthVersionLast="47" xr6:coauthVersionMax="47" xr10:uidLastSave="{D4D3EE35-5D3F-4FF9-A9B6-B61C3EB8AB33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101" i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<sst xmlns="http://schemas.openxmlformats.org/spreadsheetml/2006/main" count="66" uniqueCount="53">
  <si>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</si>
  <si>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</si>
  <si>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</si>
  <si>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</si>
  <si>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</si>
  <si>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</si>
  <si>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</si>
  <si>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</si>
  <si>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</si>
  <si>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</si>
  <si>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</si>
  <si>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</si>
  <si>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</si>
  <si>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</si>
  <si>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</si>
  <si>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</si>
  <si>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</si>
  <si>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</si>
  <si>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</si>
  <si>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</si>
  <si>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</si>
  <si>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</si>
  <si>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</si>
  <si>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</si>
  <si>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</si>
  <si>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</si>
  <si>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</si>
  <si>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</si>
  <si>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</si>
  <si>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</si>
  <si>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</si>
  <si>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</si>
  <si>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</si>
  <si>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</si>
  <si>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</si>
  <si>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</si>
  <si>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</si>
  <si>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</si>
  <si>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</si>
  <si>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</si>
  <si>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</si>
  <si>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</si>
  <si>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</si>
  <si>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</si>
  <si>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</si>
  <si>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</si>
  <si>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EHW539-42</t>
  </si>
  <si>
    <t>362</t>
  </si>
  <si>
    <t>1852565</t>
  </si>
  <si>
    <t>1852566</t>
  </si>
  <si>
    <t>Wallet on a String</t>
  </si>
  <si>
    <t>Black/Black</t>
  </si>
  <si>
    <t>EHW539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</si>
</sst>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E27" sqref="E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4.90625" bestFit="1" customWidth="1"/>
    <col min="5" max="5" width="38.6328125" bestFit="1" customWidth="1"/>
    <col min="6" max="6" width="18.81640625" customWidth="1"/>
    <col min="7" max="7" width="27.90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4" t="str">
        <f>B20&amp;"-"&amp;C20</f>
        <v>EHW539-42-362</v>
      </c>
      <c r="E20" s="50" t="s">
        <v>52</v>
      </c>
      <c r="F20" s="50" t="s">
        <v>51</v>
      </c>
      <c r="G20" s="50" t="s">
        <v>50</v>
      </c>
      <c r="H20" s="50">
        <v>97893837</v>
      </c>
      <c r="I20" s="54">
        <v>388</v>
      </c>
      <c r="J20" s="54">
        <v>1756753</v>
      </c>
      <c r="K20" s="54" t="s">
        <v>48</v>
      </c>
      <c r="L20" s="50"/>
      <c r="M20" s="80"/>
      <c r="N20" s="70"/>
    </row>
    <row r="21" spans="1:14" ht="13" x14ac:dyDescent="0.25">
      <c r="A21" s="69">
        <v>2</v>
      </c>
      <c r="B21" s="54" t="s">
        <v>46</v>
      </c>
      <c r="C21" s="54" t="s">
        <v>47</v>
      </c>
      <c r="D21" s="54" t="str">
        <f>B21&amp;"-"&amp;C21</f>
        <v>EHW539-42-362</v>
      </c>
      <c r="E21" s="50" t="s">
        <v>52</v>
      </c>
      <c r="F21" s="50" t="s">
        <v>51</v>
      </c>
      <c r="G21" s="50" t="s">
        <v>50</v>
      </c>
      <c r="H21" s="50">
        <v>97893838</v>
      </c>
      <c r="I21" s="54">
        <v>212</v>
      </c>
      <c r="J21" s="54">
        <v>1756754</v>
      </c>
      <c r="K21" s="54" t="s">
        <v>49</v>
      </c>
      <c r="L21" s="50"/>
      <c r="M21" s="80"/>
      <c r="N21" s="70"/>
    </row>
    <row r="22" spans="1:14" ht="14.5" x14ac:dyDescent="0.35">
      <c r="A22" s="69">
        <v>3</v>
      </c>
      <c r="B22" s="78"/>
      <c r="C22" s="54"/>
      <c r="D22" s="54"/>
      <c r="E22" s="54"/>
      <c r="F22" s="54"/>
      <c r="G22" s="50"/>
      <c r="H22" s="50"/>
      <c r="I22" s="54"/>
      <c r="J22" s="78"/>
      <c r="K22" s="78"/>
      <c r="L22" s="50"/>
      <c r="M22" s="80"/>
      <c r="N22" s="70"/>
    </row>
    <row r="23" spans="1:14" ht="14.5" x14ac:dyDescent="0.35">
      <c r="A23" s="69">
        <v>4</v>
      </c>
      <c r="B23" s="78"/>
      <c r="C23" s="54"/>
      <c r="D23" s="54"/>
      <c r="E23" s="54"/>
      <c r="F23" s="54"/>
      <c r="G23" s="50"/>
      <c r="H23" s="50"/>
      <c r="I23" s="54"/>
      <c r="J23" s="78"/>
      <c r="K23" s="78"/>
      <c r="L23" s="50"/>
      <c r="M23" s="80"/>
      <c r="N23" s="70"/>
    </row>
    <row r="24" spans="1:14" ht="14.5" x14ac:dyDescent="0.35">
      <c r="A24" s="69">
        <v>5</v>
      </c>
      <c r="B24" s="54"/>
      <c r="C24" s="50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EHW539-42-362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EHW539-42</v>
      </c>
      <c r="C92" s="61" t="str">
        <f>INDEX($A$20:$I$79,$A92,3)</f>
        <v>362</v>
      </c>
      <c r="D92" s="17"/>
      <c r="E92" s="60">
        <f>INDEX($A$20:$I$79,$A92,9)</f>
        <v>388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97893837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EHW539/Black/Black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Wallet on a String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0:C21 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2026-05-05T14:30:39Z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