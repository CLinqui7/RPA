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247" documentId="8_{0EBB2938-9D16-473B-B306-699D55C5D276}" xr6:coauthVersionLast="47" xr6:coauthVersionMax="47" xr10:uidLastSave="{59199DF9-0CAE-4994-A84E-13CBBD4E4F2B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<sst xmlns="http://schemas.openxmlformats.org/spreadsheetml/2006/main" count="66" uniqueCount="55">
  <si>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</si>
  <si>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</si>
  <si>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</si>
  <si>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</si>
  <si>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</si>
  <si>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</si>
  <si>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</si>
  <si>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</si>
  <si>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</si>
  <si>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</si>
  <si>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</si>
  <si>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</si>
  <si>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</si>
  <si>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</si>
  <si>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</si>
  <si>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</si>
  <si>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</si>
  <si>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</si>
  <si>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</si>
  <si>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</si>
  <si>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</si>
  <si>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</si>
  <si>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</si>
  <si>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</si>
  <si>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</si>
  <si>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</si>
  <si>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</si>
  <si>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</si>
  <si>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</si>
  <si>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</si>
  <si>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</si>
  <si>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</si>
  <si>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</si>
  <si>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</si>
  <si>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</si>
  <si>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</si>
  <si>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</si>
  <si>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</si>
  <si>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</si>
  <si>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</si>
  <si>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</si>
  <si>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</si>
  <si>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</si>
  <si>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</si>
  <si>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</si>
  <si>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</si>
  <si>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PL1806NL-42</t>
  </si>
  <si>
    <t>PL1809NL-42</t>
  </si>
  <si>
    <t>080</t>
  </si>
  <si>
    <t>079</t>
  </si>
  <si>
    <t>1647036</t>
  </si>
  <si>
    <t>Purple</t>
  </si>
  <si>
    <t>Yellow</t>
  </si>
  <si>
    <t>3P GLOW GETTER TRAVEL BW BUTR MIST BAG PUR</t>
  </si>
  <si>
    <t>3P READY SET GLOW MIST BW LOT BAG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</si>
</sst>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6" zoomScale="91" zoomScaleNormal="91" workbookViewId="0">
      <selection activeCell="F31" sqref="F31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7.906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2" t="s">
        <v>32</v>
      </c>
      <c r="F2" s="83"/>
      <c r="G2" s="84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5" t="s">
        <v>33</v>
      </c>
      <c r="D7" s="86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87" t="s">
        <v>46</v>
      </c>
      <c r="C20" s="87" t="s">
        <v>48</v>
      </c>
      <c r="D20" s="87" t="str">
        <f t="shared" ref="D20:D43" si="0">B20&amp;"-"&amp;C20</f>
        <v>PL1806NL-42-080</v>
      </c>
      <c r="E20" s="87" t="s">
        <v>46</v>
      </c>
      <c r="F20" s="87" t="s">
        <v>51</v>
      </c>
      <c r="G20" s="87" t="s">
        <v>53</v>
      </c>
      <c r="H20" s="87">
        <v>92612820</v>
      </c>
      <c r="I20" s="87">
        <v>720</v>
      </c>
      <c r="J20" s="88">
        <v>1763372</v>
      </c>
      <c r="K20" s="88" t="s">
        <v>50</v>
      </c>
      <c r="L20" s="75"/>
      <c r="M20" s="77"/>
      <c r="N20" s="71"/>
    </row>
    <row r="21" spans="1:14" ht="18.5" x14ac:dyDescent="0.45">
      <c r="A21" s="70">
        <v>2</v>
      </c>
      <c r="B21" s="87" t="s">
        <v>47</v>
      </c>
      <c r="C21" s="87" t="s">
        <v>49</v>
      </c>
      <c r="D21" s="87" t="str">
        <f t="shared" si="0"/>
        <v>PL1809NL-42-079</v>
      </c>
      <c r="E21" s="87" t="s">
        <v>47</v>
      </c>
      <c r="F21" s="87" t="s">
        <v>52</v>
      </c>
      <c r="G21" s="87" t="s">
        <v>54</v>
      </c>
      <c r="H21" s="87">
        <v>92612832</v>
      </c>
      <c r="I21" s="87">
        <v>720</v>
      </c>
      <c r="J21" s="88">
        <v>1763372</v>
      </c>
      <c r="K21" s="88" t="s">
        <v>50</v>
      </c>
      <c r="L21" s="75"/>
      <c r="M21" s="77"/>
      <c r="N21" s="71"/>
    </row>
    <row r="22" spans="1:14" ht="15.5" x14ac:dyDescent="0.35">
      <c r="A22" s="70">
        <v>19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5"/>
      <c r="M22" s="77"/>
      <c r="N22" s="71"/>
    </row>
    <row r="23" spans="1:14" ht="15.5" x14ac:dyDescent="0.35">
      <c r="A23" s="70">
        <v>20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5"/>
      <c r="M23" s="77"/>
      <c r="N23" s="71"/>
    </row>
    <row r="24" spans="1:14" ht="15.5" x14ac:dyDescent="0.35">
      <c r="A24" s="70">
        <v>21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5"/>
      <c r="M24" s="77"/>
      <c r="N24" s="71"/>
    </row>
    <row r="25" spans="1:14" ht="15.5" x14ac:dyDescent="0.35">
      <c r="A25" s="70">
        <v>22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5"/>
      <c r="M25" s="77"/>
      <c r="N25" s="71"/>
    </row>
    <row r="26" spans="1:14" ht="15.5" x14ac:dyDescent="0.35">
      <c r="A26" s="70">
        <v>23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5"/>
      <c r="M26" s="77"/>
      <c r="N26" s="71"/>
    </row>
    <row r="27" spans="1:14" ht="15.5" x14ac:dyDescent="0.35">
      <c r="A27" s="70">
        <v>24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5"/>
      <c r="M27" s="77"/>
      <c r="N27" s="71"/>
    </row>
    <row r="28" spans="1:14" ht="15.5" x14ac:dyDescent="0.35">
      <c r="A28" s="70">
        <v>25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5"/>
      <c r="M28" s="77"/>
      <c r="N28" s="71"/>
    </row>
    <row r="29" spans="1:14" ht="15.5" x14ac:dyDescent="0.35">
      <c r="A29" s="70">
        <v>26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5"/>
      <c r="M29" s="77"/>
      <c r="N29" s="71"/>
    </row>
    <row r="30" spans="1:14" ht="15.5" x14ac:dyDescent="0.35">
      <c r="A30" s="70">
        <v>27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5"/>
      <c r="M30" s="77"/>
      <c r="N30" s="71"/>
    </row>
    <row r="31" spans="1:14" ht="15.5" x14ac:dyDescent="0.35">
      <c r="A31" s="70">
        <v>28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5"/>
      <c r="M31" s="77"/>
      <c r="N31" s="71"/>
    </row>
    <row r="32" spans="1:14" ht="15.5" x14ac:dyDescent="0.35">
      <c r="A32" s="70">
        <v>29</v>
      </c>
      <c r="B32" s="79"/>
      <c r="C32" s="79"/>
      <c r="D32" s="79"/>
      <c r="E32" s="79"/>
      <c r="F32" s="80"/>
      <c r="G32" s="80"/>
      <c r="H32" s="81"/>
      <c r="I32" s="79"/>
      <c r="J32" s="79"/>
      <c r="K32" s="79"/>
      <c r="L32" s="75"/>
      <c r="M32" s="77"/>
      <c r="N32" s="71"/>
    </row>
    <row r="33" spans="1:14" ht="15.5" x14ac:dyDescent="0.35">
      <c r="A33" s="70">
        <v>30</v>
      </c>
      <c r="B33" s="79"/>
      <c r="C33" s="79"/>
      <c r="D33" s="79"/>
      <c r="E33" s="79"/>
      <c r="F33" s="80"/>
      <c r="G33" s="80"/>
      <c r="H33" s="81"/>
      <c r="I33" s="79"/>
      <c r="J33" s="79"/>
      <c r="K33" s="79"/>
      <c r="L33" s="75"/>
      <c r="M33" s="77"/>
      <c r="N33" s="71"/>
    </row>
    <row r="34" spans="1:14" ht="15.5" x14ac:dyDescent="0.35">
      <c r="A34" s="70">
        <v>31</v>
      </c>
      <c r="B34" s="79"/>
      <c r="C34" s="79"/>
      <c r="D34" s="79"/>
      <c r="E34" s="79"/>
      <c r="F34" s="80"/>
      <c r="G34" s="80"/>
      <c r="H34" s="81"/>
      <c r="I34" s="79"/>
      <c r="J34" s="79"/>
      <c r="K34" s="79"/>
      <c r="L34" s="75"/>
      <c r="M34" s="77"/>
      <c r="N34" s="71"/>
    </row>
    <row r="35" spans="1:14" ht="15.5" x14ac:dyDescent="0.35">
      <c r="A35" s="70">
        <v>32</v>
      </c>
      <c r="B35" s="79"/>
      <c r="C35" s="79"/>
      <c r="D35" s="79"/>
      <c r="E35" s="79"/>
      <c r="F35" s="80"/>
      <c r="G35" s="80"/>
      <c r="H35" s="81"/>
      <c r="I35" s="79"/>
      <c r="J35" s="79"/>
      <c r="K35" s="79"/>
      <c r="L35" s="75"/>
      <c r="M35" s="77"/>
      <c r="N35" s="71"/>
    </row>
    <row r="36" spans="1:14" ht="15.5" x14ac:dyDescent="0.35">
      <c r="A36" s="70">
        <v>33</v>
      </c>
      <c r="B36" s="79"/>
      <c r="C36" s="79"/>
      <c r="D36" s="79"/>
      <c r="E36" s="79"/>
      <c r="F36" s="80"/>
      <c r="G36" s="80"/>
      <c r="H36" s="81"/>
      <c r="I36" s="79"/>
      <c r="J36" s="79"/>
      <c r="K36" s="79"/>
      <c r="L36" s="75"/>
      <c r="M36" s="77"/>
      <c r="N36" s="71"/>
    </row>
    <row r="37" spans="1:14" ht="15.5" x14ac:dyDescent="0.35">
      <c r="A37" s="70">
        <v>34</v>
      </c>
      <c r="B37" s="79"/>
      <c r="C37" s="79"/>
      <c r="D37" s="79"/>
      <c r="E37" s="79"/>
      <c r="F37" s="80"/>
      <c r="G37" s="79"/>
      <c r="H37" s="81"/>
      <c r="I37" s="79"/>
      <c r="J37" s="79"/>
      <c r="K37" s="79"/>
      <c r="L37" s="75"/>
      <c r="M37" s="77"/>
      <c r="N37" s="71"/>
    </row>
    <row r="38" spans="1:14" ht="15.5" x14ac:dyDescent="0.35">
      <c r="A38" s="70">
        <v>35</v>
      </c>
      <c r="B38" s="79"/>
      <c r="C38" s="79"/>
      <c r="D38" s="79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PL1806NL-42-080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PL1806NL-42</v>
      </c>
      <c r="C76" s="61" t="str">
        <f>INDEX($A$20:$I$63,$A76,3)</f>
        <v>080</v>
      </c>
      <c r="D76" s="17"/>
      <c r="E76" s="60">
        <f>INDEX($A$20:$I$63,$A76,9)</f>
        <v>720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92612820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PL1806NL-42/Purple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3P GLOW GETTER TRAVEL BW BUTR MIST BAG PUR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2026-06-05T21:00:34Z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