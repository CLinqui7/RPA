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707" documentId="8_{0EBB2938-9D16-473B-B306-699D55C5D276}" xr6:coauthVersionLast="47" xr6:coauthVersionMax="47" xr10:uidLastSave="{95D32DB1-351B-459B-BD2E-8AA894D694F0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B76" i="1"/>
  <c r="C76" i="1"/>
  <c r="E76" i="1"/>
  <c r="B82" i="1"/>
  <c r="B83" i="1"/>
  <c r="B84" i="1"/>
  <c r="C86" i="1"/>
  <c r="A67" i="1"/>
  <c r="C85" i="1" l="1"/>
  <c r="D75" i="1"/>
</calcChain>
</file>

<file path=xl/sharedStrings.xml><?xml version="1.0" encoding="utf-8"?>
<sst xmlns="http://schemas.openxmlformats.org/spreadsheetml/2006/main" count="78" uniqueCount="58">
  <si>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</si>
  <si>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</si>
  <si>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</si>
  <si>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</si>
  <si>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</si>
  <si>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</si>
  <si>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</si>
  <si>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</si>
  <si>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</si>
  <si>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</si>
  <si>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</si>
  <si>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</si>
  <si>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</si>
  <si>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</si>
  <si>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</si>
  <si>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</si>
  <si>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</si>
  <si>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</si>
  <si>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</si>
  <si>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</si>
  <si>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</si>
  <si>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</si>
  <si>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</si>
  <si>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</si>
  <si>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</si>
  <si>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</si>
  <si>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</si>
  <si>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</si>
  <si>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</si>
  <si>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</si>
  <si>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</si>
  <si>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</si>
  <si>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</si>
  <si>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</si>
  <si>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</si>
  <si>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</si>
  <si>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</si>
  <si>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</si>
  <si>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</si>
  <si>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</si>
  <si>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</si>
  <si>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</si>
  <si>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</si>
  <si>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</si>
  <si>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</si>
  <si>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</si>
  <si>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PM0425WM-42</t>
  </si>
  <si>
    <t>PM0426WM-42</t>
  </si>
  <si>
    <t>J19</t>
  </si>
  <si>
    <t>1882938</t>
  </si>
  <si>
    <t>1882941</t>
  </si>
  <si>
    <t>1882942</t>
  </si>
  <si>
    <t>1882944</t>
  </si>
  <si>
    <t>PM0426WM 42</t>
  </si>
  <si>
    <t>No Color</t>
  </si>
  <si>
    <t>MENS WORK</t>
  </si>
  <si>
    <t>PM0425WM 42</t>
  </si>
  <si>
    <t>MENS PLANTAR FASCIITIS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</si>
</sst>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Calibri"/>
      <family val="2"/>
      <scheme val="minor"/>
    </font>
    <font>
      <sz val="14"/>
      <color theme="1"/>
      <name val="Calibri"/>
      <family val="2"/>
    </font>
    <font>
      <sz val="14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0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2" fillId="7" borderId="11" xfId="0" applyFont="1" applyFill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2" zoomScale="91" zoomScaleNormal="91" workbookViewId="0">
      <selection activeCell="F27" sqref="F27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6.1796875" customWidth="1"/>
    <col min="5" max="5" width="22.36328125" customWidth="1"/>
    <col min="6" max="6" width="18.81640625" customWidth="1"/>
    <col min="7" max="7" width="57.7265625" customWidth="1"/>
    <col min="8" max="8" width="22.54296875" customWidth="1"/>
    <col min="9" max="9" width="12.906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92" t="s">
        <v>32</v>
      </c>
      <c r="F2" s="93"/>
      <c r="G2" s="94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5" t="s">
        <v>33</v>
      </c>
      <c r="D7" s="96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69" t="s">
        <v>14</v>
      </c>
      <c r="C19" s="69" t="s">
        <v>20</v>
      </c>
      <c r="D19" s="69" t="s">
        <v>15</v>
      </c>
      <c r="E19" s="69" t="s">
        <v>21</v>
      </c>
      <c r="F19" s="69" t="s">
        <v>17</v>
      </c>
      <c r="G19" s="69" t="s">
        <v>18</v>
      </c>
      <c r="H19" s="69" t="s">
        <v>34</v>
      </c>
      <c r="I19" s="69" t="s">
        <v>16</v>
      </c>
      <c r="J19" s="69" t="s">
        <v>35</v>
      </c>
      <c r="K19" s="69" t="s">
        <v>36</v>
      </c>
      <c r="L19" s="78" t="s">
        <v>40</v>
      </c>
      <c r="M19" s="78" t="s">
        <v>41</v>
      </c>
      <c r="N19" s="78" t="s">
        <v>22</v>
      </c>
    </row>
    <row r="20" spans="1:14" s="86" customFormat="1" ht="18.5" x14ac:dyDescent="0.45">
      <c r="A20" s="82">
        <v>1</v>
      </c>
      <c r="B20" s="90" t="s">
        <v>46</v>
      </c>
      <c r="C20" s="89" t="s">
        <v>48</v>
      </c>
      <c r="D20" s="89" t="str">
        <f t="shared" ref="D20:D36" si="0">B20&amp;"-"&amp;C20</f>
        <v>PM0425WM-42-J19</v>
      </c>
      <c r="E20" s="89" t="s">
        <v>56</v>
      </c>
      <c r="F20" s="89" t="s">
        <v>54</v>
      </c>
      <c r="G20" s="89" t="s">
        <v>57</v>
      </c>
      <c r="H20" s="89">
        <v>99680219</v>
      </c>
      <c r="I20" s="89">
        <v>1584</v>
      </c>
      <c r="J20" s="90">
        <v>1765532</v>
      </c>
      <c r="K20" s="90" t="s">
        <v>49</v>
      </c>
      <c r="L20" s="83"/>
      <c r="M20" s="84"/>
      <c r="N20" s="85"/>
    </row>
    <row r="21" spans="1:14" s="86" customFormat="1" ht="18.5" x14ac:dyDescent="0.45">
      <c r="A21" s="82">
        <v>2</v>
      </c>
      <c r="B21" s="90" t="s">
        <v>46</v>
      </c>
      <c r="C21" s="89" t="s">
        <v>48</v>
      </c>
      <c r="D21" s="89" t="str">
        <f t="shared" si="0"/>
        <v>PM0425WM-42-J19</v>
      </c>
      <c r="E21" s="88" t="s">
        <v>56</v>
      </c>
      <c r="F21" s="88" t="s">
        <v>54</v>
      </c>
      <c r="G21" s="88" t="s">
        <v>57</v>
      </c>
      <c r="H21" s="88">
        <v>99680219</v>
      </c>
      <c r="I21" s="89">
        <v>432</v>
      </c>
      <c r="J21" s="90">
        <v>1765533</v>
      </c>
      <c r="K21" s="90" t="s">
        <v>50</v>
      </c>
      <c r="L21" s="83"/>
      <c r="M21" s="84"/>
      <c r="N21" s="85"/>
    </row>
    <row r="22" spans="1:14" s="86" customFormat="1" ht="18.5" x14ac:dyDescent="0.45">
      <c r="A22" s="82">
        <v>19</v>
      </c>
      <c r="B22" s="90" t="s">
        <v>47</v>
      </c>
      <c r="C22" s="89" t="s">
        <v>48</v>
      </c>
      <c r="D22" s="89" t="str">
        <f t="shared" si="0"/>
        <v>PM0426WM-42-J19</v>
      </c>
      <c r="E22" s="89" t="s">
        <v>53</v>
      </c>
      <c r="F22" s="89" t="s">
        <v>54</v>
      </c>
      <c r="G22" s="89" t="s">
        <v>55</v>
      </c>
      <c r="H22" s="89">
        <v>99680297</v>
      </c>
      <c r="I22" s="89">
        <v>1584</v>
      </c>
      <c r="J22" s="90">
        <v>1765534</v>
      </c>
      <c r="K22" s="89" t="s">
        <v>51</v>
      </c>
      <c r="L22" s="83"/>
      <c r="M22" s="84"/>
      <c r="N22" s="85"/>
    </row>
    <row r="23" spans="1:14" s="86" customFormat="1" ht="18.5" x14ac:dyDescent="0.45">
      <c r="A23" s="82">
        <v>20</v>
      </c>
      <c r="B23" s="90" t="s">
        <v>47</v>
      </c>
      <c r="C23" s="89" t="s">
        <v>48</v>
      </c>
      <c r="D23" s="89" t="str">
        <f t="shared" si="0"/>
        <v>PM0426WM-42-J19</v>
      </c>
      <c r="E23" s="88" t="s">
        <v>53</v>
      </c>
      <c r="F23" s="88" t="s">
        <v>54</v>
      </c>
      <c r="G23" s="88" t="s">
        <v>55</v>
      </c>
      <c r="H23" s="88">
        <v>99680297</v>
      </c>
      <c r="I23" s="89">
        <v>432</v>
      </c>
      <c r="J23" s="90">
        <v>1765535</v>
      </c>
      <c r="K23" s="89" t="s">
        <v>52</v>
      </c>
      <c r="L23" s="83"/>
      <c r="M23" s="84"/>
      <c r="N23" s="85"/>
    </row>
    <row r="24" spans="1:14" s="86" customFormat="1" ht="18.5" x14ac:dyDescent="0.45">
      <c r="A24" s="82">
        <v>21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3"/>
      <c r="M24" s="84"/>
      <c r="N24" s="85"/>
    </row>
    <row r="25" spans="1:14" s="86" customFormat="1" ht="18.5" x14ac:dyDescent="0.45">
      <c r="A25" s="82">
        <v>22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3"/>
      <c r="M25" s="84"/>
      <c r="N25" s="85"/>
    </row>
    <row r="26" spans="1:14" s="86" customFormat="1" ht="18.5" x14ac:dyDescent="0.45">
      <c r="A26" s="82">
        <v>23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3"/>
      <c r="M26" s="84"/>
      <c r="N26" s="85"/>
    </row>
    <row r="27" spans="1:14" s="86" customFormat="1" ht="18.5" x14ac:dyDescent="0.45">
      <c r="A27" s="82">
        <v>24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3"/>
      <c r="M27" s="84"/>
      <c r="N27" s="85"/>
    </row>
    <row r="28" spans="1:14" s="86" customFormat="1" ht="18.5" x14ac:dyDescent="0.45">
      <c r="A28" s="82">
        <v>25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3"/>
      <c r="M28" s="84"/>
      <c r="N28" s="85"/>
    </row>
    <row r="29" spans="1:14" s="86" customFormat="1" ht="18.5" x14ac:dyDescent="0.45">
      <c r="A29" s="82">
        <v>26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3"/>
      <c r="M29" s="84"/>
      <c r="N29" s="85"/>
    </row>
    <row r="30" spans="1:14" s="86" customFormat="1" ht="18.5" x14ac:dyDescent="0.45">
      <c r="A30" s="82">
        <v>27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3"/>
      <c r="M30" s="84"/>
      <c r="N30" s="85"/>
    </row>
    <row r="31" spans="1:14" s="86" customFormat="1" ht="18.5" x14ac:dyDescent="0.45">
      <c r="A31" s="82">
        <v>28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3"/>
      <c r="M31" s="84"/>
      <c r="N31" s="85"/>
    </row>
    <row r="32" spans="1:14" s="86" customFormat="1" ht="18.5" x14ac:dyDescent="0.45">
      <c r="A32" s="82">
        <v>29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3"/>
      <c r="M32" s="84"/>
      <c r="N32" s="85"/>
    </row>
    <row r="33" spans="1:14" s="86" customFormat="1" ht="18.5" x14ac:dyDescent="0.45">
      <c r="A33" s="82">
        <v>30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3"/>
      <c r="M33" s="84"/>
      <c r="N33" s="85"/>
    </row>
    <row r="34" spans="1:14" s="86" customFormat="1" ht="18.5" x14ac:dyDescent="0.45">
      <c r="A34" s="82">
        <v>31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3"/>
      <c r="M34" s="84"/>
      <c r="N34" s="85"/>
    </row>
    <row r="35" spans="1:14" s="86" customFormat="1" ht="18.5" x14ac:dyDescent="0.45">
      <c r="A35" s="82">
        <v>32</v>
      </c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3"/>
      <c r="M35" s="84"/>
      <c r="N35" s="85"/>
    </row>
    <row r="36" spans="1:14" s="86" customFormat="1" ht="18.5" x14ac:dyDescent="0.45">
      <c r="A36" s="82">
        <v>33</v>
      </c>
      <c r="B36" s="89"/>
      <c r="C36" s="89"/>
      <c r="D36" s="89"/>
      <c r="E36" s="91"/>
      <c r="F36" s="89"/>
      <c r="G36" s="89"/>
      <c r="H36" s="89"/>
      <c r="I36" s="91"/>
      <c r="J36" s="89"/>
      <c r="K36" s="89"/>
      <c r="L36" s="83"/>
      <c r="M36" s="84"/>
      <c r="N36" s="85"/>
    </row>
    <row r="37" spans="1:14" ht="18.5" x14ac:dyDescent="0.45">
      <c r="A37" s="70">
        <v>34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75"/>
      <c r="M37" s="77"/>
      <c r="N37" s="71"/>
    </row>
    <row r="38" spans="1:14" ht="18.5" x14ac:dyDescent="0.45">
      <c r="A38" s="70">
        <v>35</v>
      </c>
      <c r="B38" s="79"/>
      <c r="C38" s="79"/>
      <c r="D38" s="87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PM0425WM-42-J19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PM0425WM-42</v>
      </c>
      <c r="C76" s="61" t="str">
        <f>INDEX($A$20:$I$63,$A76,3)</f>
        <v>J19</v>
      </c>
      <c r="D76" s="17"/>
      <c r="E76" s="60">
        <f>INDEX($A$20:$I$63,$A76,9)</f>
        <v>1584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99680219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PM0425WM 42/No Color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MENS PLANTAR FASCIITIS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2026-06-18T19:17:45Z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