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117" documentId="8_{0EBB2938-9D16-473B-B306-699D55C5D276}" xr6:coauthVersionLast="47" xr6:coauthVersionMax="47" xr10:uidLastSave="{0B5417FB-811D-4444-8772-E8F3DD1066A5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6" i="1"/>
  <c r="D27" i="1"/>
  <c r="D28" i="1"/>
  <c r="D29" i="1"/>
  <c r="D30" i="1"/>
  <c r="D31" i="1"/>
  <c r="D32" i="1"/>
  <c r="D33" i="1"/>
  <c r="D20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<sst xmlns="http://schemas.openxmlformats.org/spreadsheetml/2006/main" count="132" uniqueCount="80">
  <si>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</si>
  <si>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</si>
  <si>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</si>
  <si>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</si>
  <si>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</si>
  <si>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</si>
  <si>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</si>
  <si>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</si>
  <si>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</si>
  <si>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</si>
  <si>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</si>
  <si>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</si>
  <si>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</si>
  <si>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</si>
  <si>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</si>
  <si>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</si>
  <si>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</si>
  <si>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</si>
  <si>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</si>
  <si>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</si>
  <si>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</si>
  <si>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</si>
  <si>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</si>
  <si>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</si>
  <si>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</si>
  <si>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</si>
  <si>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</si>
  <si>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</si>
  <si>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</si>
  <si>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</si>
  <si>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</si>
  <si>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</si>
  <si>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</si>
  <si>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</si>
  <si>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</si>
  <si>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</si>
  <si>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</si>
  <si>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</si>
  <si>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</si>
  <si>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</si>
  <si>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</si>
  <si>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</si>
  <si>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</si>
  <si>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</si>
  <si>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</si>
  <si>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</si>
  <si>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EHH108-26</t>
  </si>
  <si>
    <t>TLP</t>
  </si>
  <si>
    <t>EHH417-42</t>
  </si>
  <si>
    <t>006</t>
  </si>
  <si>
    <t>EHH389-42</t>
  </si>
  <si>
    <t>049</t>
  </si>
  <si>
    <t>338</t>
  </si>
  <si>
    <t>410</t>
  </si>
  <si>
    <t>EHH405-42</t>
  </si>
  <si>
    <t>OBM</t>
  </si>
  <si>
    <t>EHH411B-42</t>
  </si>
  <si>
    <t>033</t>
  </si>
  <si>
    <t>EHH480-42</t>
  </si>
  <si>
    <t>PKC</t>
  </si>
  <si>
    <t>EHH108-26.TLP</t>
  </si>
  <si>
    <t>EHH417-42.006</t>
  </si>
  <si>
    <t>EHH389-42.049</t>
  </si>
  <si>
    <t>EHH389-42.338</t>
  </si>
  <si>
    <t>EHH389-42.410</t>
  </si>
  <si>
    <t>EHH405-42.OBM</t>
  </si>
  <si>
    <t>EHH411B-42.033</t>
  </si>
  <si>
    <t>EHH480-42.PKC</t>
  </si>
  <si>
    <t>1858077</t>
  </si>
  <si>
    <t>1858202</t>
  </si>
  <si>
    <t>1868201</t>
  </si>
  <si>
    <t>1868202</t>
  </si>
  <si>
    <t>Tillie Twill Tote</t>
  </si>
  <si>
    <t>Pink</t>
  </si>
  <si>
    <t>Brown</t>
  </si>
  <si>
    <t>Arden Suede Cell Crossbody</t>
  </si>
  <si>
    <t>Lg Hobo w fringe</t>
  </si>
  <si>
    <t>Lg Tote</t>
  </si>
  <si>
    <t>Small Satchel</t>
  </si>
  <si>
    <t>Baguette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</si>
</sst>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0" fillId="0" borderId="19" xfId="0" applyBorder="1"/>
    <xf numFmtId="0" fontId="1" fillId="0" borderId="19" xfId="0" applyFont="1" applyBorder="1"/>
    <xf numFmtId="0" fontId="0" fillId="7" borderId="19" xfId="0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" fillId="6" borderId="17" xfId="0" quotePrefix="1" applyFont="1" applyFill="1" applyBorder="1" applyAlignment="1">
      <alignment horizontal="center" vertical="center"/>
    </xf>
    <xf numFmtId="0" fontId="27" fillId="11" borderId="11" xfId="1" applyFill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G37" sqref="G3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3" t="s">
        <v>32</v>
      </c>
      <c r="F2" s="84"/>
      <c r="G2" s="85"/>
    </row>
    <row r="4" spans="1:17" ht="18" x14ac:dyDescent="0.4">
      <c r="A4" s="1" t="s">
        <v>0</v>
      </c>
      <c r="D4" s="65" t="s">
        <v>37</v>
      </c>
    </row>
    <row r="5" spans="1:17" ht="15.5" x14ac:dyDescent="0.35">
      <c r="D5" s="65" t="s">
        <v>38</v>
      </c>
    </row>
    <row r="7" spans="1:17" ht="20" x14ac:dyDescent="0.4">
      <c r="A7" s="66" t="s">
        <v>1</v>
      </c>
      <c r="C7" s="86" t="s">
        <v>33</v>
      </c>
      <c r="D7" s="87"/>
      <c r="E7" s="67" t="s">
        <v>42</v>
      </c>
      <c r="F7" s="72" t="s">
        <v>39</v>
      </c>
      <c r="G7" s="72"/>
      <c r="H7" s="72"/>
      <c r="I7" s="66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3" thickBot="1" x14ac:dyDescent="0.7">
      <c r="A18" s="30"/>
      <c r="B18" s="43" t="s">
        <v>10</v>
      </c>
      <c r="C18" s="31"/>
      <c r="D18" s="31"/>
      <c r="E18" s="32"/>
      <c r="F18" s="32"/>
      <c r="G18" s="32"/>
      <c r="H18" s="64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9"/>
      <c r="B19" s="82" t="s">
        <v>14</v>
      </c>
      <c r="C19" s="82" t="s">
        <v>20</v>
      </c>
      <c r="D19" s="82" t="s">
        <v>15</v>
      </c>
      <c r="E19" s="82" t="s">
        <v>21</v>
      </c>
      <c r="F19" s="82" t="s">
        <v>17</v>
      </c>
      <c r="G19" s="82" t="s">
        <v>18</v>
      </c>
      <c r="H19" s="82" t="s">
        <v>34</v>
      </c>
      <c r="I19" s="82" t="s">
        <v>16</v>
      </c>
      <c r="J19" s="82" t="s">
        <v>35</v>
      </c>
      <c r="K19" s="82" t="s">
        <v>36</v>
      </c>
      <c r="L19" s="82" t="s">
        <v>40</v>
      </c>
      <c r="M19" s="82" t="s">
        <v>41</v>
      </c>
      <c r="N19" s="63" t="s">
        <v>22</v>
      </c>
    </row>
    <row r="20" spans="1:14" ht="13" x14ac:dyDescent="0.25">
      <c r="A20" s="70">
        <v>1</v>
      </c>
      <c r="B20" s="54" t="s">
        <v>46</v>
      </c>
      <c r="C20" s="54" t="s">
        <v>47</v>
      </c>
      <c r="D20" s="54" t="str">
        <f>B20&amp;"."&amp;C20</f>
        <v>EHH108-26.TLP</v>
      </c>
      <c r="E20" s="54" t="s">
        <v>60</v>
      </c>
      <c r="F20" s="50" t="s">
        <v>73</v>
      </c>
      <c r="G20" s="50" t="s">
        <v>72</v>
      </c>
      <c r="H20" s="50">
        <v>99153239</v>
      </c>
      <c r="I20" s="54">
        <v>120</v>
      </c>
      <c r="J20" s="54">
        <v>1752517</v>
      </c>
      <c r="K20" s="54" t="s">
        <v>68</v>
      </c>
      <c r="L20" s="50"/>
      <c r="M20" s="89"/>
      <c r="N20" s="88">
        <v>655</v>
      </c>
    </row>
    <row r="21" spans="1:14" ht="13" x14ac:dyDescent="0.25">
      <c r="A21" s="70">
        <v>2</v>
      </c>
      <c r="B21" s="54" t="s">
        <v>48</v>
      </c>
      <c r="C21" s="54" t="s">
        <v>49</v>
      </c>
      <c r="D21" s="54" t="str">
        <f t="shared" ref="D21:E33" si="0">B21&amp;"."&amp;C21</f>
        <v>EHH417-42.006</v>
      </c>
      <c r="E21" s="54" t="s">
        <v>61</v>
      </c>
      <c r="F21" s="50" t="s">
        <v>74</v>
      </c>
      <c r="G21" s="50" t="s">
        <v>75</v>
      </c>
      <c r="H21" s="50">
        <v>99155540</v>
      </c>
      <c r="I21" s="54">
        <v>150</v>
      </c>
      <c r="J21" s="54">
        <v>1752518</v>
      </c>
      <c r="K21" s="54" t="s">
        <v>69</v>
      </c>
      <c r="L21" s="50"/>
      <c r="M21" s="89"/>
      <c r="N21" s="88">
        <v>655</v>
      </c>
    </row>
    <row r="22" spans="1:14" ht="13" x14ac:dyDescent="0.25">
      <c r="A22" s="70">
        <v>3</v>
      </c>
      <c r="B22" s="54" t="s">
        <v>50</v>
      </c>
      <c r="C22" s="54" t="s">
        <v>51</v>
      </c>
      <c r="D22" s="54" t="str">
        <f t="shared" si="0"/>
        <v>EHH389-42.049</v>
      </c>
      <c r="E22" s="54" t="s">
        <v>62</v>
      </c>
      <c r="F22" s="50">
        <v>49</v>
      </c>
      <c r="G22" s="50" t="s">
        <v>76</v>
      </c>
      <c r="H22" s="50">
        <v>99382089</v>
      </c>
      <c r="I22" s="54">
        <v>91</v>
      </c>
      <c r="J22" s="54">
        <v>1752519</v>
      </c>
      <c r="K22" s="54" t="s">
        <v>70</v>
      </c>
      <c r="L22" s="50"/>
      <c r="M22" s="89"/>
      <c r="N22" s="88">
        <v>655</v>
      </c>
    </row>
    <row r="23" spans="1:14" ht="13" x14ac:dyDescent="0.25">
      <c r="A23" s="70">
        <v>4</v>
      </c>
      <c r="B23" s="54" t="s">
        <v>50</v>
      </c>
      <c r="C23" s="54" t="s">
        <v>52</v>
      </c>
      <c r="D23" s="54" t="str">
        <f t="shared" si="0"/>
        <v>EHH389-42.338</v>
      </c>
      <c r="E23" s="54" t="s">
        <v>63</v>
      </c>
      <c r="F23" s="50">
        <v>338</v>
      </c>
      <c r="G23" s="50" t="s">
        <v>76</v>
      </c>
      <c r="H23" s="50">
        <v>99382091</v>
      </c>
      <c r="I23" s="54">
        <v>83</v>
      </c>
      <c r="J23" s="54">
        <v>1752519</v>
      </c>
      <c r="K23" s="54" t="s">
        <v>70</v>
      </c>
      <c r="L23" s="50"/>
      <c r="M23" s="89"/>
      <c r="N23" s="88">
        <v>655</v>
      </c>
    </row>
    <row r="24" spans="1:14" ht="13" x14ac:dyDescent="0.25">
      <c r="A24" s="70">
        <v>5</v>
      </c>
      <c r="B24" s="54" t="s">
        <v>50</v>
      </c>
      <c r="C24" s="54" t="s">
        <v>53</v>
      </c>
      <c r="D24" s="54" t="str">
        <f t="shared" si="0"/>
        <v>EHH389-42.410</v>
      </c>
      <c r="E24" s="54" t="s">
        <v>64</v>
      </c>
      <c r="F24" s="50">
        <v>410</v>
      </c>
      <c r="G24" s="50" t="s">
        <v>76</v>
      </c>
      <c r="H24" s="50">
        <v>99382077</v>
      </c>
      <c r="I24" s="54">
        <v>92</v>
      </c>
      <c r="J24" s="54">
        <v>1752519</v>
      </c>
      <c r="K24" s="54" t="s">
        <v>70</v>
      </c>
      <c r="L24" s="50"/>
      <c r="M24" s="89"/>
      <c r="N24" s="88">
        <v>655</v>
      </c>
    </row>
    <row r="25" spans="1:14" ht="13" x14ac:dyDescent="0.25">
      <c r="A25" s="70">
        <v>6</v>
      </c>
      <c r="B25" s="54" t="s">
        <v>54</v>
      </c>
      <c r="C25" s="54" t="s">
        <v>55</v>
      </c>
      <c r="D25" s="54" t="str">
        <f t="shared" si="0"/>
        <v>EHH405-42.OBM</v>
      </c>
      <c r="E25" s="54" t="s">
        <v>65</v>
      </c>
      <c r="F25" s="50" t="s">
        <v>55</v>
      </c>
      <c r="G25" s="50" t="s">
        <v>77</v>
      </c>
      <c r="H25" s="50">
        <v>99382107</v>
      </c>
      <c r="I25" s="54">
        <v>209</v>
      </c>
      <c r="J25" s="54">
        <v>1752519</v>
      </c>
      <c r="K25" s="54" t="s">
        <v>70</v>
      </c>
      <c r="L25" s="50"/>
      <c r="M25" s="89"/>
      <c r="N25" s="88">
        <v>655</v>
      </c>
    </row>
    <row r="26" spans="1:14" ht="13" x14ac:dyDescent="0.25">
      <c r="A26" s="70">
        <v>7</v>
      </c>
      <c r="B26" s="54" t="s">
        <v>56</v>
      </c>
      <c r="C26" s="54" t="s">
        <v>57</v>
      </c>
      <c r="D26" s="54" t="str">
        <f t="shared" si="0"/>
        <v>EHH411B-42.033</v>
      </c>
      <c r="E26" s="54" t="s">
        <v>66</v>
      </c>
      <c r="F26" s="90" t="s">
        <v>57</v>
      </c>
      <c r="G26" s="50" t="s">
        <v>78</v>
      </c>
      <c r="H26" s="50">
        <v>99382110</v>
      </c>
      <c r="I26" s="54">
        <v>243</v>
      </c>
      <c r="J26" s="54">
        <v>1752519</v>
      </c>
      <c r="K26" s="54" t="s">
        <v>70</v>
      </c>
      <c r="L26" s="50"/>
      <c r="M26" s="89"/>
      <c r="N26" s="88">
        <v>655</v>
      </c>
    </row>
    <row r="27" spans="1:14" ht="13" x14ac:dyDescent="0.25">
      <c r="A27" s="70">
        <v>8</v>
      </c>
      <c r="B27" s="54" t="s">
        <v>58</v>
      </c>
      <c r="C27" s="54" t="s">
        <v>59</v>
      </c>
      <c r="D27" s="54" t="str">
        <f t="shared" si="0"/>
        <v>EHH480-42.PKC</v>
      </c>
      <c r="E27" s="54" t="s">
        <v>67</v>
      </c>
      <c r="F27" s="50" t="s">
        <v>59</v>
      </c>
      <c r="G27" s="50" t="s">
        <v>79</v>
      </c>
      <c r="H27" s="50">
        <v>99382122</v>
      </c>
      <c r="I27" s="54">
        <v>238</v>
      </c>
      <c r="J27" s="54">
        <v>1752519</v>
      </c>
      <c r="K27" s="54" t="s">
        <v>70</v>
      </c>
      <c r="L27" s="50"/>
      <c r="M27" s="89"/>
      <c r="N27" s="88">
        <v>655</v>
      </c>
    </row>
    <row r="28" spans="1:14" ht="13" x14ac:dyDescent="0.25">
      <c r="A28" s="70">
        <v>9</v>
      </c>
      <c r="B28" s="54" t="s">
        <v>50</v>
      </c>
      <c r="C28" s="54" t="s">
        <v>51</v>
      </c>
      <c r="D28" s="54" t="str">
        <f t="shared" si="0"/>
        <v>EHH389-42.049</v>
      </c>
      <c r="E28" s="54" t="s">
        <v>62</v>
      </c>
      <c r="F28" s="50">
        <v>49</v>
      </c>
      <c r="G28" s="50" t="s">
        <v>76</v>
      </c>
      <c r="H28" s="50">
        <v>99382089</v>
      </c>
      <c r="I28" s="54">
        <v>509</v>
      </c>
      <c r="J28" s="54">
        <v>1752520</v>
      </c>
      <c r="K28" s="54" t="s">
        <v>71</v>
      </c>
      <c r="L28" s="50"/>
      <c r="M28" s="89"/>
      <c r="N28" s="88">
        <v>655</v>
      </c>
    </row>
    <row r="29" spans="1:14" ht="13" x14ac:dyDescent="0.25">
      <c r="A29" s="70">
        <v>10</v>
      </c>
      <c r="B29" s="54" t="s">
        <v>50</v>
      </c>
      <c r="C29" s="54" t="s">
        <v>52</v>
      </c>
      <c r="D29" s="54" t="str">
        <f t="shared" si="0"/>
        <v>EHH389-42.338</v>
      </c>
      <c r="E29" s="54" t="s">
        <v>63</v>
      </c>
      <c r="F29" s="50">
        <v>338</v>
      </c>
      <c r="G29" s="50" t="s">
        <v>76</v>
      </c>
      <c r="H29" s="50">
        <v>99382091</v>
      </c>
      <c r="I29" s="54">
        <v>517</v>
      </c>
      <c r="J29" s="54">
        <v>1752520</v>
      </c>
      <c r="K29" s="54" t="s">
        <v>71</v>
      </c>
      <c r="L29" s="50"/>
      <c r="M29" s="89"/>
      <c r="N29" s="88">
        <v>655</v>
      </c>
    </row>
    <row r="30" spans="1:14" ht="13" x14ac:dyDescent="0.25">
      <c r="A30" s="70">
        <v>11</v>
      </c>
      <c r="B30" s="54" t="s">
        <v>50</v>
      </c>
      <c r="C30" s="54" t="s">
        <v>53</v>
      </c>
      <c r="D30" s="54" t="str">
        <f t="shared" si="0"/>
        <v>EHH389-42.410</v>
      </c>
      <c r="E30" s="54" t="s">
        <v>64</v>
      </c>
      <c r="F30" s="50">
        <v>410</v>
      </c>
      <c r="G30" s="50" t="s">
        <v>76</v>
      </c>
      <c r="H30" s="50">
        <v>99382077</v>
      </c>
      <c r="I30" s="54">
        <v>508</v>
      </c>
      <c r="J30" s="54">
        <v>1752520</v>
      </c>
      <c r="K30" s="54" t="s">
        <v>71</v>
      </c>
      <c r="L30" s="50"/>
      <c r="M30" s="89"/>
      <c r="N30" s="88">
        <v>655</v>
      </c>
    </row>
    <row r="31" spans="1:14" ht="13" x14ac:dyDescent="0.25">
      <c r="A31" s="70">
        <v>12</v>
      </c>
      <c r="B31" s="54" t="s">
        <v>54</v>
      </c>
      <c r="C31" s="54" t="s">
        <v>55</v>
      </c>
      <c r="D31" s="54" t="str">
        <f t="shared" si="0"/>
        <v>EHH405-42.OBM</v>
      </c>
      <c r="E31" s="54" t="s">
        <v>65</v>
      </c>
      <c r="F31" s="50" t="s">
        <v>55</v>
      </c>
      <c r="G31" s="50" t="s">
        <v>77</v>
      </c>
      <c r="H31" s="50">
        <v>99382107</v>
      </c>
      <c r="I31" s="54">
        <v>391</v>
      </c>
      <c r="J31" s="54">
        <v>1752520</v>
      </c>
      <c r="K31" s="54" t="s">
        <v>71</v>
      </c>
      <c r="L31" s="50"/>
      <c r="M31" s="89"/>
      <c r="N31" s="88">
        <v>655</v>
      </c>
    </row>
    <row r="32" spans="1:14" ht="13" x14ac:dyDescent="0.25">
      <c r="A32" s="70">
        <v>13</v>
      </c>
      <c r="B32" s="54" t="s">
        <v>56</v>
      </c>
      <c r="C32" s="54" t="s">
        <v>57</v>
      </c>
      <c r="D32" s="54" t="str">
        <f t="shared" si="0"/>
        <v>EHH411B-42.033</v>
      </c>
      <c r="E32" s="54" t="s">
        <v>66</v>
      </c>
      <c r="F32" s="90" t="s">
        <v>57</v>
      </c>
      <c r="G32" s="50" t="s">
        <v>78</v>
      </c>
      <c r="H32" s="50">
        <v>99382110</v>
      </c>
      <c r="I32" s="54">
        <v>957</v>
      </c>
      <c r="J32" s="54">
        <v>1752520</v>
      </c>
      <c r="K32" s="54" t="s">
        <v>71</v>
      </c>
      <c r="L32" s="50"/>
      <c r="M32" s="89"/>
      <c r="N32" s="88"/>
    </row>
    <row r="33" spans="1:14" ht="13" x14ac:dyDescent="0.25">
      <c r="A33" s="70">
        <v>14</v>
      </c>
      <c r="B33" s="54" t="s">
        <v>58</v>
      </c>
      <c r="C33" s="54" t="s">
        <v>59</v>
      </c>
      <c r="D33" s="54" t="str">
        <f t="shared" si="0"/>
        <v>EHH480-42.PKC</v>
      </c>
      <c r="E33" s="54" t="s">
        <v>67</v>
      </c>
      <c r="F33" s="50" t="s">
        <v>59</v>
      </c>
      <c r="G33" s="50" t="s">
        <v>79</v>
      </c>
      <c r="H33" s="50">
        <v>99382122</v>
      </c>
      <c r="I33" s="54">
        <v>962</v>
      </c>
      <c r="J33" s="54">
        <v>1752520</v>
      </c>
      <c r="K33" s="54" t="s">
        <v>71</v>
      </c>
      <c r="L33" s="50"/>
      <c r="M33" s="89"/>
      <c r="N33" s="88"/>
    </row>
    <row r="34" spans="1:14" ht="13" x14ac:dyDescent="0.25">
      <c r="A34" s="70">
        <v>15</v>
      </c>
      <c r="B34" s="54"/>
      <c r="C34" s="54"/>
      <c r="D34" s="54"/>
      <c r="E34" s="54"/>
      <c r="F34" s="50"/>
      <c r="G34" s="54"/>
      <c r="H34" s="68"/>
      <c r="I34" s="54"/>
      <c r="J34" s="54"/>
      <c r="K34" s="54"/>
      <c r="L34" s="50"/>
      <c r="M34" s="89"/>
      <c r="N34" s="88"/>
    </row>
    <row r="35" spans="1:14" ht="13" x14ac:dyDescent="0.25">
      <c r="A35" s="70">
        <v>16</v>
      </c>
      <c r="C35" s="79"/>
      <c r="D35" s="79"/>
      <c r="E35" s="79"/>
      <c r="F35" s="80"/>
      <c r="G35" s="79"/>
      <c r="H35" s="81"/>
      <c r="I35" s="79"/>
      <c r="J35" s="79"/>
      <c r="K35" s="79"/>
      <c r="L35" s="80"/>
      <c r="M35" s="78"/>
      <c r="N35" s="71"/>
    </row>
    <row r="36" spans="1:14" ht="13" x14ac:dyDescent="0.25">
      <c r="A36" s="70">
        <v>17</v>
      </c>
      <c r="B36" s="74"/>
      <c r="C36" s="74"/>
      <c r="D36" s="74"/>
      <c r="E36" s="74"/>
      <c r="F36" s="75"/>
      <c r="G36" s="74"/>
      <c r="H36" s="68"/>
      <c r="I36" s="74"/>
      <c r="J36" s="74"/>
      <c r="K36" s="74"/>
      <c r="L36" s="75"/>
      <c r="M36" s="78"/>
      <c r="N36" s="71"/>
    </row>
    <row r="37" spans="1:14" ht="13" x14ac:dyDescent="0.25">
      <c r="A37" s="70">
        <v>18</v>
      </c>
      <c r="B37" s="74"/>
      <c r="C37" s="74"/>
      <c r="D37" s="74"/>
      <c r="E37" s="74"/>
      <c r="F37" s="75"/>
      <c r="G37" s="74"/>
      <c r="H37" s="68"/>
      <c r="I37" s="74"/>
      <c r="J37" s="74"/>
      <c r="K37" s="74"/>
      <c r="L37" s="75"/>
      <c r="M37" s="78"/>
      <c r="N37" s="71"/>
    </row>
    <row r="38" spans="1:14" ht="13" x14ac:dyDescent="0.25">
      <c r="A38" s="70">
        <v>19</v>
      </c>
      <c r="B38" s="74"/>
      <c r="C38" s="74"/>
      <c r="D38" s="74"/>
      <c r="E38" s="74"/>
      <c r="F38" s="75"/>
      <c r="G38" s="74"/>
      <c r="H38" s="68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74"/>
      <c r="E39" s="74"/>
      <c r="F39" s="75"/>
      <c r="G39" s="74"/>
      <c r="H39" s="68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74"/>
      <c r="E40" s="74"/>
      <c r="F40" s="78"/>
      <c r="G40" s="76"/>
      <c r="H40" s="68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74"/>
      <c r="E41" s="74"/>
      <c r="F41" s="78"/>
      <c r="G41" s="76"/>
      <c r="H41" s="68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74"/>
      <c r="E42" s="74"/>
      <c r="F42" s="75"/>
      <c r="G42" s="74"/>
      <c r="H42" s="68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74"/>
      <c r="E43" s="74"/>
      <c r="F43" s="75"/>
      <c r="G43" s="74"/>
      <c r="H43" s="68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74"/>
      <c r="E44" s="74"/>
      <c r="F44" s="75"/>
      <c r="G44" s="74"/>
      <c r="H44" s="68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74"/>
      <c r="E45" s="74"/>
      <c r="F45" s="75"/>
      <c r="G45" s="74"/>
      <c r="H45" s="68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74"/>
      <c r="E46" s="74"/>
      <c r="F46" s="75"/>
      <c r="G46" s="74"/>
      <c r="H46" s="68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74"/>
      <c r="E47" s="74"/>
      <c r="F47" s="75"/>
      <c r="G47" s="74"/>
      <c r="H47" s="68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75"/>
      <c r="E48" s="75"/>
      <c r="F48" s="78"/>
      <c r="G48" s="78"/>
      <c r="H48" s="68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75"/>
      <c r="E49" s="75"/>
      <c r="F49" s="78"/>
      <c r="G49" s="78"/>
      <c r="H49" s="68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75"/>
      <c r="E50" s="75"/>
      <c r="F50" s="78"/>
      <c r="G50" s="78"/>
      <c r="H50" s="68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75"/>
      <c r="E51" s="75"/>
      <c r="F51" s="78"/>
      <c r="G51" s="78"/>
      <c r="H51" s="68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74"/>
      <c r="E52" s="74"/>
      <c r="F52" s="78"/>
      <c r="G52" s="78"/>
      <c r="H52" s="68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74"/>
      <c r="E53" s="74"/>
      <c r="F53" s="78"/>
      <c r="G53" s="76"/>
      <c r="H53" s="68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74"/>
      <c r="E54" s="74"/>
      <c r="F54" s="78"/>
      <c r="G54" s="76"/>
      <c r="H54" s="68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74"/>
      <c r="E55" s="74"/>
      <c r="F55" s="75"/>
      <c r="G55" s="74"/>
      <c r="H55" s="68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74"/>
      <c r="E56" s="74"/>
      <c r="F56" s="75"/>
      <c r="G56" s="74"/>
      <c r="H56" s="68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74"/>
      <c r="E57" s="74"/>
      <c r="F57" s="75"/>
      <c r="G57" s="74"/>
      <c r="H57" s="68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74"/>
      <c r="E58" s="74"/>
      <c r="F58" s="75"/>
      <c r="G58" s="74"/>
      <c r="H58" s="68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74"/>
      <c r="E59" s="74"/>
      <c r="F59" s="75"/>
      <c r="G59" s="74"/>
      <c r="H59" s="68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74"/>
      <c r="E60" s="74"/>
      <c r="F60" s="75"/>
      <c r="G60" s="74"/>
      <c r="H60" s="68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74"/>
      <c r="E61" s="74"/>
      <c r="F61" s="75"/>
      <c r="G61" s="74"/>
      <c r="H61" s="68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74"/>
      <c r="E62" s="74"/>
      <c r="F62" s="75"/>
      <c r="G62" s="74"/>
      <c r="H62" s="68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74"/>
      <c r="E63" s="74"/>
      <c r="F63" s="75"/>
      <c r="G63" s="74"/>
      <c r="H63" s="68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74"/>
      <c r="E64" s="74"/>
      <c r="F64" s="75"/>
      <c r="G64" s="74"/>
      <c r="H64" s="68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74"/>
      <c r="E65" s="74"/>
      <c r="F65" s="75"/>
      <c r="G65" s="74"/>
      <c r="H65" s="68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74"/>
      <c r="E66" s="74"/>
      <c r="F66" s="75"/>
      <c r="G66" s="74"/>
      <c r="H66" s="68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74"/>
      <c r="E67" s="74"/>
      <c r="F67" s="75"/>
      <c r="G67" s="74"/>
      <c r="H67" s="68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74"/>
      <c r="E68" s="74"/>
      <c r="F68" s="75"/>
      <c r="G68" s="74"/>
      <c r="H68" s="68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74"/>
      <c r="E69" s="74"/>
      <c r="F69" s="75"/>
      <c r="G69" s="74"/>
      <c r="H69" s="68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74"/>
      <c r="E70" s="74"/>
      <c r="F70" s="75"/>
      <c r="G70" s="74"/>
      <c r="H70" s="68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74"/>
      <c r="E71" s="74"/>
      <c r="F71" s="75"/>
      <c r="G71" s="74"/>
      <c r="H71" s="68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74"/>
      <c r="E72" s="74"/>
      <c r="F72" s="75"/>
      <c r="G72" s="74"/>
      <c r="H72" s="68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74"/>
      <c r="E73" s="74"/>
      <c r="F73" s="75"/>
      <c r="G73" s="74"/>
      <c r="H73" s="68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74"/>
      <c r="E74" s="74"/>
      <c r="F74" s="75"/>
      <c r="G74" s="74"/>
      <c r="H74" s="68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74"/>
      <c r="E75" s="74"/>
      <c r="F75" s="75"/>
      <c r="G75" s="74"/>
      <c r="H75" s="68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74"/>
      <c r="E76" s="74"/>
      <c r="F76" s="75"/>
      <c r="G76" s="74"/>
      <c r="H76" s="68"/>
      <c r="I76" s="74"/>
      <c r="J76" s="74"/>
      <c r="K76" s="74"/>
      <c r="L76" s="75"/>
      <c r="M76" s="68"/>
      <c r="N76" s="71"/>
    </row>
    <row r="77" spans="1:14" ht="13" x14ac:dyDescent="0.25">
      <c r="A77" s="70">
        <v>58</v>
      </c>
      <c r="B77" s="77"/>
      <c r="C77" s="77"/>
      <c r="D77" s="74"/>
      <c r="E77" s="74"/>
      <c r="F77" s="75"/>
      <c r="G77" s="74"/>
      <c r="H77" s="68"/>
      <c r="I77" s="74"/>
      <c r="J77" s="74"/>
      <c r="K77" s="74"/>
      <c r="L77" s="75"/>
      <c r="M77" s="68"/>
      <c r="N77" s="71"/>
    </row>
    <row r="78" spans="1:14" ht="13" x14ac:dyDescent="0.25">
      <c r="A78" s="70">
        <v>59</v>
      </c>
      <c r="B78" s="77"/>
      <c r="C78" s="77"/>
      <c r="D78" s="74"/>
      <c r="E78" s="74"/>
      <c r="F78" s="75"/>
      <c r="G78" s="74"/>
      <c r="H78" s="68"/>
      <c r="I78" s="74"/>
      <c r="J78" s="74"/>
      <c r="K78" s="74"/>
      <c r="L78" s="75"/>
      <c r="M78" s="68"/>
      <c r="N78" s="71"/>
    </row>
    <row r="79" spans="1:14" ht="13" x14ac:dyDescent="0.25">
      <c r="A79" s="70">
        <v>60</v>
      </c>
      <c r="B79" s="77"/>
      <c r="C79" s="77"/>
      <c r="D79" s="74"/>
      <c r="E79" s="74"/>
      <c r="I79" s="74"/>
      <c r="J79" s="74"/>
      <c r="K79" s="74"/>
      <c r="L79" s="75"/>
      <c r="M79" s="68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EHH108-26.TLP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EHH108-26</v>
      </c>
      <c r="C92" s="61" t="str">
        <f>INDEX($A$20:$I$79,$A92,3)</f>
        <v>TLP</v>
      </c>
      <c r="D92" s="17"/>
      <c r="E92" s="60">
        <f>INDEX($A$20:$I$79,$A92,9)</f>
        <v>120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99153239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EHH108-26.TLP/Pink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Tillie Twill Tote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C21:C33 K20:K33 F26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2026-04-20T15:01:47Z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