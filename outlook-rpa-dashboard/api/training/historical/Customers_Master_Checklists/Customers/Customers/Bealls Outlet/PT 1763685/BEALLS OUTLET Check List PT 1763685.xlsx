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83" documentId="8_{0EBB2938-9D16-473B-B306-699D55C5D276}" xr6:coauthVersionLast="47" xr6:coauthVersionMax="47" xr10:uidLastSave="{7B349842-B340-4C73-BAAF-3EB86E81B0AA}"/>
  <bookViews>
    <workbookView xWindow="1700" yWindow="1700" windowWidth="9600" windowHeight="48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<sst xmlns="http://schemas.openxmlformats.org/spreadsheetml/2006/main" count="78" uniqueCount="64">
  <si>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</si>
  <si>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</si>
  <si>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</si>
  <si>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</si>
  <si>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</si>
  <si>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</si>
  <si>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</si>
  <si>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</si>
  <si>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</si>
  <si>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</si>
  <si>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</si>
  <si>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</si>
  <si>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</si>
  <si>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</si>
  <si>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</si>
  <si>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</si>
  <si>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</si>
  <si>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</si>
  <si>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</si>
  <si>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</si>
  <si>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</si>
  <si>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</si>
  <si>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</si>
  <si>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</si>
  <si>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</si>
  <si>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</si>
  <si>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</si>
  <si>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</si>
  <si>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</si>
  <si>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</si>
  <si>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</si>
  <si>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</si>
  <si>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</si>
  <si>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</si>
  <si>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</si>
  <si>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</si>
  <si>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</si>
  <si>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</si>
  <si>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</si>
  <si>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</si>
  <si>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</si>
  <si>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</si>
  <si>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</si>
  <si>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</si>
  <si>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</si>
  <si>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</si>
  <si>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1858445</t>
  </si>
  <si>
    <t>EDH02901S-42</t>
  </si>
  <si>
    <t>EHH426-42</t>
  </si>
  <si>
    <t>EHH705-42</t>
  </si>
  <si>
    <t>BWU</t>
  </si>
  <si>
    <t>UED</t>
  </si>
  <si>
    <t>285</t>
  </si>
  <si>
    <t>USH</t>
  </si>
  <si>
    <t>EDH02901S 42-BWU</t>
  </si>
  <si>
    <t>EDH02901S 42-UED</t>
  </si>
  <si>
    <t>EHH426-42 285</t>
  </si>
  <si>
    <t>EHH705-42 USH</t>
  </si>
  <si>
    <t>Jayma Baguette</t>
  </si>
  <si>
    <t>Astrid Large Studs Tote</t>
  </si>
  <si>
    <t>Eve Lg Satchel</t>
  </si>
  <si>
    <t>Pink Tattoo/Black</t>
  </si>
  <si>
    <t>Chocolate Suede</t>
  </si>
  <si>
    <t>Blue Suede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</si>
</sst>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C10" zoomScale="91" zoomScaleNormal="91" workbookViewId="0">
      <selection activeCell="H27" sqref="H27"/>
    </sheetView>
  </sheetViews>
  <sheetFormatPr defaultRowHeight="12.5" x14ac:dyDescent="0.25"/>
  <cols>
    <col min="1" max="1" width="15.81640625" customWidth="1"/>
    <col min="2" max="2" width="22.81640625" customWidth="1"/>
    <col min="3" max="3" width="11.7265625" style="33" customWidth="1"/>
    <col min="4" max="4" width="25.453125" customWidth="1"/>
    <col min="5" max="5" width="33.7265625" customWidth="1"/>
    <col min="6" max="6" width="22.7265625" customWidth="1"/>
    <col min="7" max="7" width="39.179687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3" t="s">
        <v>32</v>
      </c>
      <c r="F2" s="94"/>
      <c r="G2" s="95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6" t="s">
        <v>33</v>
      </c>
      <c r="D7" s="97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47</v>
      </c>
      <c r="C20" s="91" t="s">
        <v>50</v>
      </c>
      <c r="D20" s="89" t="str">
        <f t="shared" ref="D20:E24" si="0">B20&amp;"-"&amp;C20</f>
        <v>EDH02901S-42-BWU</v>
      </c>
      <c r="E20" s="91" t="s">
        <v>54</v>
      </c>
      <c r="F20" s="91" t="s">
        <v>62</v>
      </c>
      <c r="G20" s="91" t="s">
        <v>58</v>
      </c>
      <c r="H20" s="91">
        <v>99156072</v>
      </c>
      <c r="I20" s="89">
        <v>442</v>
      </c>
      <c r="J20" s="90">
        <v>1763685</v>
      </c>
      <c r="K20" s="90" t="s">
        <v>46</v>
      </c>
      <c r="L20" s="75"/>
      <c r="M20" s="77"/>
      <c r="N20" s="71"/>
    </row>
    <row r="21" spans="1:14" ht="18.5" x14ac:dyDescent="0.45">
      <c r="A21" s="70">
        <v>2</v>
      </c>
      <c r="B21" s="89" t="s">
        <v>47</v>
      </c>
      <c r="C21" s="89" t="s">
        <v>51</v>
      </c>
      <c r="D21" s="89" t="str">
        <f t="shared" si="0"/>
        <v>EDH02901S-42-UED</v>
      </c>
      <c r="E21" s="91" t="s">
        <v>55</v>
      </c>
      <c r="F21" s="91" t="s">
        <v>63</v>
      </c>
      <c r="G21" s="91" t="s">
        <v>58</v>
      </c>
      <c r="H21" s="91">
        <v>99156096</v>
      </c>
      <c r="I21" s="89">
        <v>312</v>
      </c>
      <c r="J21" s="90">
        <v>1763685</v>
      </c>
      <c r="K21" s="90" t="s">
        <v>46</v>
      </c>
      <c r="L21" s="75"/>
      <c r="M21" s="77"/>
      <c r="N21" s="71"/>
    </row>
    <row r="22" spans="1:14" ht="18.5" x14ac:dyDescent="0.45">
      <c r="A22" s="70">
        <v>19</v>
      </c>
      <c r="B22" s="82" t="s">
        <v>48</v>
      </c>
      <c r="C22" s="82" t="s">
        <v>52</v>
      </c>
      <c r="D22" s="89" t="str">
        <f t="shared" si="0"/>
        <v>EHH426-42-285</v>
      </c>
      <c r="E22" s="91" t="s">
        <v>56</v>
      </c>
      <c r="F22" s="91" t="s">
        <v>62</v>
      </c>
      <c r="G22" s="91" t="s">
        <v>59</v>
      </c>
      <c r="H22" s="91">
        <v>99154335</v>
      </c>
      <c r="I22" s="82">
        <v>59</v>
      </c>
      <c r="J22" s="82">
        <v>1763685</v>
      </c>
      <c r="K22" s="82" t="s">
        <v>46</v>
      </c>
      <c r="L22" s="75"/>
      <c r="M22" s="77"/>
      <c r="N22" s="71"/>
    </row>
    <row r="23" spans="1:14" ht="18.5" x14ac:dyDescent="0.45">
      <c r="A23" s="70">
        <v>20</v>
      </c>
      <c r="B23" s="82" t="s">
        <v>49</v>
      </c>
      <c r="C23" s="82" t="s">
        <v>53</v>
      </c>
      <c r="D23" s="89" t="str">
        <f t="shared" si="0"/>
        <v>EHH705-42-USH</v>
      </c>
      <c r="E23" s="91" t="s">
        <v>57</v>
      </c>
      <c r="F23" s="91" t="s">
        <v>61</v>
      </c>
      <c r="G23" s="91" t="s">
        <v>60</v>
      </c>
      <c r="H23" s="91">
        <v>99156102</v>
      </c>
      <c r="I23" s="82">
        <v>442</v>
      </c>
      <c r="J23" s="82">
        <v>1763685</v>
      </c>
      <c r="K23" s="82" t="s">
        <v>46</v>
      </c>
      <c r="L23" s="75"/>
      <c r="M23" s="77"/>
      <c r="N23" s="71"/>
    </row>
    <row r="24" spans="1:14" ht="18.5" x14ac:dyDescent="0.45">
      <c r="A24" s="70"/>
      <c r="B24" s="82"/>
      <c r="C24" s="82"/>
      <c r="D24" s="89"/>
      <c r="E24" s="91"/>
      <c r="F24" s="91"/>
      <c r="G24" s="91"/>
      <c r="H24" s="91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2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EDH02901S-42-BWU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EDH02901S-42</v>
      </c>
      <c r="C76" s="61" t="str">
        <f>INDEX($A$20:$I$63,$A76,3)</f>
        <v>BWU</v>
      </c>
      <c r="D76" s="17"/>
      <c r="E76" s="60">
        <f>INDEX($A$20:$I$63,$A76,9)</f>
        <v>442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99156072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EDH02901S 42-BWU/Chocolate Suede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Jayma Baguette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2026-06-10T21:57:07Z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