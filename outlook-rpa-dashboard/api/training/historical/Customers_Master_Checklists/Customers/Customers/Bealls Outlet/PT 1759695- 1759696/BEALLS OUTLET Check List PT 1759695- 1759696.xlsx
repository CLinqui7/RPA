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 CD 5 JUNIO/"/>
    </mc:Choice>
  </mc:AlternateContent>
  <xr:revisionPtr revIDLastSave="135" documentId="8_{0EBB2938-9D16-473B-B306-699D55C5D276}" xr6:coauthVersionLast="47" xr6:coauthVersionMax="47" xr10:uidLastSave="{1BEE863C-A2BD-428D-81D9-14BD6F8395AD}"/>
  <bookViews>
    <workbookView xWindow="-19310" yWindow="-660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20" i="1"/>
  <c r="D21" i="1"/>
  <c r="D22" i="1"/>
  <c r="D23" i="1"/>
  <c r="D24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<sst xmlns="http://schemas.openxmlformats.org/spreadsheetml/2006/main" count="170" uniqueCount="88">
  <si>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</si>
  <si>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</si>
  <si>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</si>
  <si>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</si>
  <si>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</si>
  <si>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</si>
  <si>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</si>
  <si>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</si>
  <si>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</si>
  <si>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</si>
  <si>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</si>
  <si>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</si>
  <si>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</si>
  <si>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</si>
  <si>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</si>
  <si>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</si>
  <si>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</si>
  <si>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</si>
  <si>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</si>
  <si>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</si>
  <si>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</si>
  <si>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</si>
  <si>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</si>
  <si>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</si>
  <si>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</si>
  <si>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</si>
  <si>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</si>
  <si>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</si>
  <si>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</si>
  <si>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</si>
  <si>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</si>
  <si>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</si>
  <si>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</si>
  <si>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</si>
  <si>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</si>
  <si>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</si>
  <si>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</si>
  <si>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</si>
  <si>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</si>
  <si>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</si>
  <si>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</si>
  <si>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</si>
  <si>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</si>
  <si>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</si>
  <si>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</si>
  <si>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</si>
  <si>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Pink</t>
  </si>
  <si>
    <t>1858606</t>
  </si>
  <si>
    <t>1858607</t>
  </si>
  <si>
    <t>EHH-085R1-42</t>
  </si>
  <si>
    <t>EHH342-42</t>
  </si>
  <si>
    <t>EHH351-42</t>
  </si>
  <si>
    <t>EHH399-42</t>
  </si>
  <si>
    <t>EHH412-42</t>
  </si>
  <si>
    <t>EHH414-42</t>
  </si>
  <si>
    <t>EHH416-42</t>
  </si>
  <si>
    <t>EHH417-42</t>
  </si>
  <si>
    <t>EHH426-42</t>
  </si>
  <si>
    <t>0ML</t>
  </si>
  <si>
    <t>BMT</t>
  </si>
  <si>
    <t>009</t>
  </si>
  <si>
    <t>CHO</t>
  </si>
  <si>
    <t>OBM</t>
  </si>
  <si>
    <t>003</t>
  </si>
  <si>
    <t>006</t>
  </si>
  <si>
    <t>285</t>
  </si>
  <si>
    <t>EHH-085R1-42-0ML</t>
  </si>
  <si>
    <t>EHH342-42-BMT</t>
  </si>
  <si>
    <t>EHH351-42-009</t>
  </si>
  <si>
    <t>EHH399-42-CHO</t>
  </si>
  <si>
    <t>EHH412-42-OBM</t>
  </si>
  <si>
    <t>EHH414-42-003</t>
  </si>
  <si>
    <t>EHH416-42-003</t>
  </si>
  <si>
    <t>EHH417-42-006</t>
  </si>
  <si>
    <t>EHH426-42-285</t>
  </si>
  <si>
    <t>Black</t>
  </si>
  <si>
    <t>Chocolate Suede/Pink</t>
  </si>
  <si>
    <t>Blue Suede</t>
  </si>
  <si>
    <t>Brown</t>
  </si>
  <si>
    <t>Elizabeth Barrel</t>
  </si>
  <si>
    <t>Mick Sling</t>
  </si>
  <si>
    <t>Heather Backpack</t>
  </si>
  <si>
    <t xml:space="preserve"> Abby EastWest Shoulder</t>
  </si>
  <si>
    <t>Heather Flap Shoulder</t>
  </si>
  <si>
    <t>Donna Crossbody</t>
  </si>
  <si>
    <t>Ariel Cell Crossbody</t>
  </si>
  <si>
    <t>Arden Suede Cell Crossbody</t>
  </si>
  <si>
    <t>Astrid Large Studs Tote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</si>
</sst>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A5" zoomScale="84" zoomScaleNormal="84" workbookViewId="0">
      <selection activeCell="F28" sqref="F2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0" t="s">
        <v>14</v>
      </c>
      <c r="C19" s="80" t="s">
        <v>20</v>
      </c>
      <c r="D19" s="80" t="s">
        <v>15</v>
      </c>
      <c r="E19" s="80" t="s">
        <v>21</v>
      </c>
      <c r="F19" s="80" t="s">
        <v>17</v>
      </c>
      <c r="G19" s="80" t="s">
        <v>18</v>
      </c>
      <c r="H19" s="80" t="s">
        <v>34</v>
      </c>
      <c r="I19" s="69" t="s">
        <v>16</v>
      </c>
      <c r="J19" s="80" t="s">
        <v>35</v>
      </c>
      <c r="K19" s="80" t="s">
        <v>36</v>
      </c>
      <c r="L19" s="80" t="s">
        <v>40</v>
      </c>
      <c r="M19" s="80" t="s">
        <v>41</v>
      </c>
      <c r="N19" s="80" t="s">
        <v>22</v>
      </c>
    </row>
    <row r="20" spans="1:14" ht="14.5" x14ac:dyDescent="0.35">
      <c r="A20" s="70">
        <v>1</v>
      </c>
      <c r="B20" s="54" t="s">
        <v>49</v>
      </c>
      <c r="C20" s="54" t="s">
        <v>58</v>
      </c>
      <c r="D20" s="54" t="str">
        <f t="shared" ref="D20:E23" si="0">B20&amp;"-"&amp;C20</f>
        <v>EHH-085R1-42-0ML</v>
      </c>
      <c r="E20" s="54" t="s">
        <v>66</v>
      </c>
      <c r="F20" s="50" t="s">
        <v>75</v>
      </c>
      <c r="G20" s="50" t="s">
        <v>79</v>
      </c>
      <c r="H20" s="50">
        <v>99155525</v>
      </c>
      <c r="I20" s="54">
        <v>26</v>
      </c>
      <c r="J20" s="79">
        <v>1759695</v>
      </c>
      <c r="K20" s="79" t="s">
        <v>47</v>
      </c>
      <c r="L20" s="75"/>
      <c r="M20" s="78"/>
      <c r="N20" s="71"/>
    </row>
    <row r="21" spans="1:14" ht="14.5" x14ac:dyDescent="0.35">
      <c r="A21" s="70">
        <v>2</v>
      </c>
      <c r="B21" s="54" t="s">
        <v>50</v>
      </c>
      <c r="C21" s="54" t="s">
        <v>59</v>
      </c>
      <c r="D21" s="54" t="str">
        <f t="shared" si="0"/>
        <v>EHH342-42-BMT</v>
      </c>
      <c r="E21" s="54" t="s">
        <v>67</v>
      </c>
      <c r="F21" s="50" t="s">
        <v>75</v>
      </c>
      <c r="G21" s="50" t="s">
        <v>80</v>
      </c>
      <c r="H21" s="50">
        <v>99155525</v>
      </c>
      <c r="I21" s="54">
        <v>177</v>
      </c>
      <c r="J21" s="79">
        <v>1759695</v>
      </c>
      <c r="K21" s="79" t="s">
        <v>47</v>
      </c>
      <c r="L21" s="75"/>
      <c r="M21" s="78"/>
      <c r="N21" s="71"/>
    </row>
    <row r="22" spans="1:14" ht="14.5" x14ac:dyDescent="0.35">
      <c r="A22" s="70">
        <v>3</v>
      </c>
      <c r="B22" s="54" t="s">
        <v>51</v>
      </c>
      <c r="C22" s="54" t="s">
        <v>60</v>
      </c>
      <c r="D22" s="54" t="str">
        <f t="shared" si="0"/>
        <v>EHH351-42-009</v>
      </c>
      <c r="E22" s="54" t="s">
        <v>68</v>
      </c>
      <c r="F22" s="50" t="s">
        <v>46</v>
      </c>
      <c r="G22" s="50" t="s">
        <v>81</v>
      </c>
      <c r="H22" s="50">
        <v>99155525</v>
      </c>
      <c r="I22" s="54">
        <v>176</v>
      </c>
      <c r="J22" s="79">
        <v>1759695</v>
      </c>
      <c r="K22" s="79" t="s">
        <v>47</v>
      </c>
      <c r="L22" s="75"/>
      <c r="M22" s="78"/>
      <c r="N22" s="71"/>
    </row>
    <row r="23" spans="1:14" ht="14.5" x14ac:dyDescent="0.35">
      <c r="A23" s="70">
        <v>4</v>
      </c>
      <c r="B23" s="54" t="s">
        <v>52</v>
      </c>
      <c r="C23" s="54" t="s">
        <v>61</v>
      </c>
      <c r="D23" s="54" t="str">
        <f t="shared" si="0"/>
        <v>EHH399-42-CHO</v>
      </c>
      <c r="E23" s="54" t="s">
        <v>69</v>
      </c>
      <c r="F23" s="50" t="s">
        <v>46</v>
      </c>
      <c r="G23" s="50" t="s">
        <v>82</v>
      </c>
      <c r="H23" s="50">
        <v>99155525</v>
      </c>
      <c r="I23" s="54">
        <v>416</v>
      </c>
      <c r="J23" s="79">
        <v>1759695</v>
      </c>
      <c r="K23" s="79" t="s">
        <v>47</v>
      </c>
      <c r="L23" s="75"/>
      <c r="M23" s="78"/>
      <c r="N23" s="71"/>
    </row>
    <row r="24" spans="1:14" ht="14.5" x14ac:dyDescent="0.35">
      <c r="A24" s="70">
        <v>5</v>
      </c>
      <c r="B24" s="54" t="s">
        <v>53</v>
      </c>
      <c r="C24" s="54" t="s">
        <v>62</v>
      </c>
      <c r="D24" s="54" t="str">
        <f>B24&amp;"-"&amp;C24</f>
        <v>EHH412-42-OBM</v>
      </c>
      <c r="E24" s="54" t="s">
        <v>70</v>
      </c>
      <c r="F24" s="50" t="s">
        <v>76</v>
      </c>
      <c r="G24" s="50" t="s">
        <v>83</v>
      </c>
      <c r="H24" s="50">
        <v>99155525</v>
      </c>
      <c r="I24" s="54">
        <v>540</v>
      </c>
      <c r="J24" s="79">
        <v>1759695</v>
      </c>
      <c r="K24" s="79" t="s">
        <v>47</v>
      </c>
      <c r="L24" s="75"/>
      <c r="M24" s="78"/>
      <c r="N24" s="71"/>
    </row>
    <row r="25" spans="1:14" ht="14.5" x14ac:dyDescent="0.35">
      <c r="A25" s="70">
        <v>6</v>
      </c>
      <c r="B25" s="54" t="s">
        <v>54</v>
      </c>
      <c r="C25" s="54" t="s">
        <v>63</v>
      </c>
      <c r="D25" s="54" t="str">
        <f t="shared" ref="D25:E29" si="1">B25&amp;"-"&amp;C25</f>
        <v>EHH414-42-003</v>
      </c>
      <c r="E25" s="54" t="s">
        <v>71</v>
      </c>
      <c r="F25" s="50" t="s">
        <v>77</v>
      </c>
      <c r="G25" s="50" t="s">
        <v>84</v>
      </c>
      <c r="H25" s="50">
        <v>99155525</v>
      </c>
      <c r="I25" s="54">
        <v>403</v>
      </c>
      <c r="J25" s="79">
        <v>1759695</v>
      </c>
      <c r="K25" s="79" t="s">
        <v>47</v>
      </c>
      <c r="L25" s="75"/>
      <c r="M25" s="78"/>
      <c r="N25" s="71"/>
    </row>
    <row r="26" spans="1:14" ht="14.5" x14ac:dyDescent="0.35">
      <c r="A26" s="70">
        <v>7</v>
      </c>
      <c r="B26" s="54" t="s">
        <v>55</v>
      </c>
      <c r="C26" s="54" t="s">
        <v>63</v>
      </c>
      <c r="D26" s="54" t="str">
        <f t="shared" si="1"/>
        <v>EHH416-42-003</v>
      </c>
      <c r="E26" s="54" t="s">
        <v>72</v>
      </c>
      <c r="F26" s="50" t="s">
        <v>75</v>
      </c>
      <c r="G26" s="50" t="s">
        <v>85</v>
      </c>
      <c r="H26" s="50">
        <v>99155525</v>
      </c>
      <c r="I26" s="54">
        <v>167</v>
      </c>
      <c r="J26" s="79">
        <v>1759695</v>
      </c>
      <c r="K26" s="79" t="s">
        <v>47</v>
      </c>
      <c r="L26" s="75"/>
      <c r="M26" s="78"/>
      <c r="N26" s="71"/>
    </row>
    <row r="27" spans="1:14" ht="14.5" x14ac:dyDescent="0.35">
      <c r="A27" s="70">
        <v>8</v>
      </c>
      <c r="B27" s="54" t="s">
        <v>56</v>
      </c>
      <c r="C27" s="54" t="s">
        <v>64</v>
      </c>
      <c r="D27" s="54" t="str">
        <f t="shared" si="1"/>
        <v>EHH417-42-006</v>
      </c>
      <c r="E27" s="54" t="s">
        <v>73</v>
      </c>
      <c r="F27" s="50" t="s">
        <v>75</v>
      </c>
      <c r="G27" s="50" t="s">
        <v>86</v>
      </c>
      <c r="H27" s="50">
        <v>99155525</v>
      </c>
      <c r="I27" s="54">
        <v>403</v>
      </c>
      <c r="J27" s="79">
        <v>1759695</v>
      </c>
      <c r="K27" s="79" t="s">
        <v>47</v>
      </c>
      <c r="L27" s="75"/>
      <c r="M27" s="78"/>
      <c r="N27" s="71"/>
    </row>
    <row r="28" spans="1:14" ht="14.5" x14ac:dyDescent="0.35">
      <c r="A28" s="70">
        <v>9</v>
      </c>
      <c r="B28" s="54" t="s">
        <v>57</v>
      </c>
      <c r="C28" s="54" t="s">
        <v>65</v>
      </c>
      <c r="D28" s="54" t="str">
        <f t="shared" si="1"/>
        <v>EHH426-42-285</v>
      </c>
      <c r="E28" s="54" t="s">
        <v>74</v>
      </c>
      <c r="F28" s="50" t="s">
        <v>78</v>
      </c>
      <c r="G28" s="50" t="s">
        <v>87</v>
      </c>
      <c r="H28" s="50">
        <v>99155525</v>
      </c>
      <c r="I28" s="54">
        <v>514</v>
      </c>
      <c r="J28" s="79">
        <v>1759695</v>
      </c>
      <c r="K28" s="79" t="s">
        <v>47</v>
      </c>
      <c r="L28" s="75"/>
      <c r="M28" s="78"/>
      <c r="N28" s="71"/>
    </row>
    <row r="29" spans="1:14" ht="14.5" x14ac:dyDescent="0.35">
      <c r="A29" s="70">
        <v>10</v>
      </c>
      <c r="B29" s="54" t="s">
        <v>49</v>
      </c>
      <c r="C29" s="54" t="s">
        <v>58</v>
      </c>
      <c r="D29" s="54" t="str">
        <f t="shared" si="1"/>
        <v>EHH-085R1-42-0ML</v>
      </c>
      <c r="E29" s="54" t="s">
        <v>66</v>
      </c>
      <c r="F29" s="50" t="s">
        <v>75</v>
      </c>
      <c r="G29" s="50" t="s">
        <v>79</v>
      </c>
      <c r="H29" s="50">
        <v>99155525</v>
      </c>
      <c r="I29" s="54">
        <v>86</v>
      </c>
      <c r="J29" s="79">
        <v>1759696</v>
      </c>
      <c r="K29" s="79" t="s">
        <v>48</v>
      </c>
      <c r="L29" s="75"/>
      <c r="M29" s="78"/>
      <c r="N29" s="71"/>
    </row>
    <row r="30" spans="1:14" ht="14.5" x14ac:dyDescent="0.35">
      <c r="A30" s="70">
        <v>11</v>
      </c>
      <c r="B30" s="50" t="s">
        <v>50</v>
      </c>
      <c r="C30" s="54" t="s">
        <v>59</v>
      </c>
      <c r="D30" s="50" t="s">
        <v>67</v>
      </c>
      <c r="E30" s="54" t="s">
        <v>67</v>
      </c>
      <c r="F30" s="50" t="s">
        <v>75</v>
      </c>
      <c r="G30" s="50" t="s">
        <v>80</v>
      </c>
      <c r="H30" s="50">
        <v>99155525</v>
      </c>
      <c r="I30" s="54">
        <v>423</v>
      </c>
      <c r="J30" s="79">
        <v>1759696</v>
      </c>
      <c r="K30" s="79" t="s">
        <v>48</v>
      </c>
      <c r="L30" s="75"/>
      <c r="M30" s="78"/>
      <c r="N30" s="71"/>
    </row>
    <row r="31" spans="1:14" ht="14.5" x14ac:dyDescent="0.35">
      <c r="A31" s="70">
        <v>12</v>
      </c>
      <c r="B31" s="50" t="s">
        <v>51</v>
      </c>
      <c r="C31" s="54" t="s">
        <v>60</v>
      </c>
      <c r="D31" s="50" t="s">
        <v>68</v>
      </c>
      <c r="E31" s="54" t="s">
        <v>68</v>
      </c>
      <c r="F31" s="50" t="s">
        <v>46</v>
      </c>
      <c r="G31" s="50" t="s">
        <v>81</v>
      </c>
      <c r="H31" s="50">
        <v>99155525</v>
      </c>
      <c r="I31" s="54">
        <v>424</v>
      </c>
      <c r="J31" s="79">
        <v>1759696</v>
      </c>
      <c r="K31" s="79" t="s">
        <v>48</v>
      </c>
      <c r="L31" s="75"/>
      <c r="M31" s="78"/>
      <c r="N31" s="71"/>
    </row>
    <row r="32" spans="1:14" ht="13" x14ac:dyDescent="0.25">
      <c r="A32" s="70">
        <v>13</v>
      </c>
      <c r="B32" s="54" t="s">
        <v>52</v>
      </c>
      <c r="C32" s="54" t="s">
        <v>61</v>
      </c>
      <c r="D32" s="50" t="s">
        <v>69</v>
      </c>
      <c r="E32" s="54" t="s">
        <v>69</v>
      </c>
      <c r="F32" s="50" t="s">
        <v>46</v>
      </c>
      <c r="G32" s="54" t="s">
        <v>82</v>
      </c>
      <c r="H32" s="50">
        <v>99155525</v>
      </c>
      <c r="I32" s="54">
        <v>1084</v>
      </c>
      <c r="J32" s="54">
        <v>1759696</v>
      </c>
      <c r="K32" s="54" t="s">
        <v>48</v>
      </c>
      <c r="L32" s="75"/>
      <c r="M32" s="78"/>
      <c r="N32" s="71"/>
    </row>
    <row r="33" spans="1:14" ht="13" x14ac:dyDescent="0.25">
      <c r="A33" s="70">
        <v>14</v>
      </c>
      <c r="B33" s="54" t="s">
        <v>53</v>
      </c>
      <c r="C33" s="54" t="s">
        <v>62</v>
      </c>
      <c r="D33" s="50" t="s">
        <v>70</v>
      </c>
      <c r="E33" s="54" t="s">
        <v>70</v>
      </c>
      <c r="F33" s="50" t="s">
        <v>76</v>
      </c>
      <c r="G33" s="54" t="s">
        <v>83</v>
      </c>
      <c r="H33" s="50">
        <v>99155525</v>
      </c>
      <c r="I33" s="54">
        <v>1204</v>
      </c>
      <c r="J33" s="54">
        <v>1759696</v>
      </c>
      <c r="K33" s="54" t="s">
        <v>48</v>
      </c>
      <c r="L33" s="75"/>
      <c r="M33" s="78"/>
      <c r="N33" s="71"/>
    </row>
    <row r="34" spans="1:14" ht="13" x14ac:dyDescent="0.25">
      <c r="A34" s="70">
        <v>15</v>
      </c>
      <c r="B34" s="54" t="s">
        <v>54</v>
      </c>
      <c r="C34" s="54" t="s">
        <v>63</v>
      </c>
      <c r="D34" s="50" t="s">
        <v>71</v>
      </c>
      <c r="E34" s="54" t="s">
        <v>71</v>
      </c>
      <c r="F34" s="50" t="s">
        <v>77</v>
      </c>
      <c r="G34" s="54" t="s">
        <v>84</v>
      </c>
      <c r="H34" s="50">
        <v>99155525</v>
      </c>
      <c r="I34" s="54">
        <v>797</v>
      </c>
      <c r="J34" s="54">
        <v>1759696</v>
      </c>
      <c r="K34" s="54" t="s">
        <v>48</v>
      </c>
      <c r="L34" s="75"/>
      <c r="M34" s="78"/>
      <c r="N34" s="71"/>
    </row>
    <row r="35" spans="1:14" ht="13" x14ac:dyDescent="0.25">
      <c r="A35" s="70">
        <v>16</v>
      </c>
      <c r="B35" s="54" t="s">
        <v>55</v>
      </c>
      <c r="C35" s="54" t="s">
        <v>63</v>
      </c>
      <c r="D35" s="50" t="s">
        <v>72</v>
      </c>
      <c r="E35" s="54" t="s">
        <v>72</v>
      </c>
      <c r="F35" s="50" t="s">
        <v>75</v>
      </c>
      <c r="G35" s="54" t="s">
        <v>85</v>
      </c>
      <c r="H35" s="50">
        <v>99155525</v>
      </c>
      <c r="I35" s="54">
        <v>313</v>
      </c>
      <c r="J35" s="54">
        <v>1759696</v>
      </c>
      <c r="K35" s="54" t="s">
        <v>48</v>
      </c>
      <c r="L35" s="75"/>
      <c r="M35" s="78"/>
      <c r="N35" s="71"/>
    </row>
    <row r="36" spans="1:14" ht="13" x14ac:dyDescent="0.25">
      <c r="A36" s="70">
        <v>17</v>
      </c>
      <c r="B36" s="54" t="s">
        <v>56</v>
      </c>
      <c r="C36" s="54" t="s">
        <v>64</v>
      </c>
      <c r="D36" s="50" t="s">
        <v>73</v>
      </c>
      <c r="E36" s="54" t="s">
        <v>73</v>
      </c>
      <c r="F36" s="50" t="s">
        <v>75</v>
      </c>
      <c r="G36" s="54" t="s">
        <v>86</v>
      </c>
      <c r="H36" s="50">
        <v>99155525</v>
      </c>
      <c r="I36" s="54">
        <v>797</v>
      </c>
      <c r="J36" s="54">
        <v>1759696</v>
      </c>
      <c r="K36" s="54" t="s">
        <v>48</v>
      </c>
      <c r="L36" s="75"/>
      <c r="M36" s="78"/>
      <c r="N36" s="71"/>
    </row>
    <row r="37" spans="1:14" ht="13" x14ac:dyDescent="0.25">
      <c r="A37" s="70">
        <v>18</v>
      </c>
      <c r="B37" s="54" t="s">
        <v>57</v>
      </c>
      <c r="C37" s="54" t="s">
        <v>65</v>
      </c>
      <c r="D37" s="50" t="s">
        <v>74</v>
      </c>
      <c r="E37" s="54" t="s">
        <v>74</v>
      </c>
      <c r="F37" s="50" t="s">
        <v>78</v>
      </c>
      <c r="G37" s="54" t="s">
        <v>87</v>
      </c>
      <c r="H37" s="50">
        <v>99155525</v>
      </c>
      <c r="I37" s="54">
        <v>1086</v>
      </c>
      <c r="J37" s="54">
        <v>1759696</v>
      </c>
      <c r="K37" s="54" t="s">
        <v>48</v>
      </c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EHH-085R1-42-0ML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EHH-085R1-42</v>
      </c>
      <c r="C92" s="61" t="str">
        <f>INDEX($A$20:$I$79,$A92,3)</f>
        <v>0ML</v>
      </c>
      <c r="D92" s="17"/>
      <c r="E92" s="60">
        <f>INDEX($A$20:$I$79,$A92,9)</f>
        <v>26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99155525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EHH-085R1-42-0ML/Black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Elizabeth Barrel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2026-05-20T21:45:50Z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