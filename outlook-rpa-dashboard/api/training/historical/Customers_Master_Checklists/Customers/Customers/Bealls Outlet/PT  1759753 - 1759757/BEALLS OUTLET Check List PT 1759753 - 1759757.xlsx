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192" documentId="8_{0EBB2938-9D16-473B-B306-699D55C5D276}" xr6:coauthVersionLast="47" xr6:coauthVersionMax="47" xr10:uidLastSave="{ACA10DDB-3295-43D8-BCFF-EC22568DBD12}"/>
  <bookViews>
    <workbookView xWindow="28680" yWindow="-850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D25" i="1"/>
  <c r="D26" i="1"/>
  <c r="D27" i="1"/>
  <c r="D28" i="1"/>
  <c r="D29" i="1"/>
  <c r="D20" i="1"/>
  <c r="D21" i="1"/>
  <c r="D22" i="1"/>
  <c r="D23" i="1"/>
  <c r="D24" i="1"/>
  <c r="C101" i="1"/>
  <c r="B92" i="1"/>
  <c r="C92" i="1"/>
  <c r="E92" i="1"/>
  <c r="B98" i="1"/>
  <c r="B99" i="1"/>
  <c r="B100" i="1"/>
  <c r="C102" i="1"/>
  <c r="A83" i="1"/>
  <c r="D91" i="1" l="1"/>
</calcChain>
</file>

<file path=xl/sharedStrings.xml><?xml version="1.0" encoding="utf-8"?>
<sst xmlns="http://schemas.openxmlformats.org/spreadsheetml/2006/main" count="146" uniqueCount="90">
  <si>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</si>
  <si>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</si>
  <si>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</si>
  <si>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</si>
  <si>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</si>
  <si>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</si>
  <si>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</si>
  <si>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</si>
  <si>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</si>
  <si>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</si>
  <si>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</si>
  <si>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</si>
  <si>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</si>
  <si>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</si>
  <si>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</si>
  <si>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</si>
  <si>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</si>
  <si>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</si>
  <si>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</si>
  <si>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</si>
  <si>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</si>
  <si>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</si>
  <si>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</si>
  <si>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</si>
  <si>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</si>
  <si>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</si>
  <si>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</si>
  <si>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</si>
  <si>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</si>
  <si>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</si>
  <si>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</si>
  <si>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</si>
  <si>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</si>
  <si>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</si>
  <si>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</si>
  <si>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</si>
  <si>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</si>
  <si>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</si>
  <si>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</si>
  <si>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</si>
  <si>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</si>
  <si>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</si>
  <si>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</si>
  <si>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</si>
  <si>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</si>
  <si>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</si>
  <si>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Pink</t>
  </si>
  <si>
    <t>1858369</t>
  </si>
  <si>
    <t>1858378</t>
  </si>
  <si>
    <t>1858379</t>
  </si>
  <si>
    <t>1875175</t>
  </si>
  <si>
    <t>1875176</t>
  </si>
  <si>
    <t>EHH108-26</t>
  </si>
  <si>
    <t>EHH281-42</t>
  </si>
  <si>
    <t>EHH419R1-42</t>
  </si>
  <si>
    <t>WMH1481K-42</t>
  </si>
  <si>
    <t>WMH27501J-42</t>
  </si>
  <si>
    <t>WMH397-42</t>
  </si>
  <si>
    <t>EVP</t>
  </si>
  <si>
    <t>LPT</t>
  </si>
  <si>
    <t>TLP</t>
  </si>
  <si>
    <t>003</t>
  </si>
  <si>
    <t>AD7</t>
  </si>
  <si>
    <t>285</t>
  </si>
  <si>
    <t>SDL</t>
  </si>
  <si>
    <t>Black Tattoo</t>
  </si>
  <si>
    <t>Black Multi</t>
  </si>
  <si>
    <t>Eve Twill Tote</t>
  </si>
  <si>
    <t>Lulu Twill Tote</t>
  </si>
  <si>
    <t>Tillie Twill Tote</t>
  </si>
  <si>
    <t>EHH108-26-EVP</t>
  </si>
  <si>
    <t>EHH108-26-LPT</t>
  </si>
  <si>
    <t>EHH108-26-TLP</t>
  </si>
  <si>
    <t>EHH281-42-003</t>
  </si>
  <si>
    <t>EHH419R1-42-003</t>
  </si>
  <si>
    <t>Black/Pink</t>
  </si>
  <si>
    <t>Black/Grey Ombre</t>
  </si>
  <si>
    <t>Hyacinth Baguette</t>
  </si>
  <si>
    <t>Harriet Hobo</t>
  </si>
  <si>
    <t>WMH397-42-SDL</t>
  </si>
  <si>
    <t>Saddle</t>
  </si>
  <si>
    <t>Wilshire Ridge NS Crossbody</t>
  </si>
  <si>
    <t>Bone/Saddle</t>
  </si>
  <si>
    <t>WMH1481K-42-AD7</t>
  </si>
  <si>
    <t>BOLTON2 Tone NS Crossbody</t>
  </si>
  <si>
    <t>WMH27501J-42-285</t>
  </si>
  <si>
    <t>WMH27501J-42-286</t>
  </si>
  <si>
    <t>Chocolate</t>
  </si>
  <si>
    <t>Westmont Scoop Hobo</t>
  </si>
  <si>
    <t>WMH27501J-42-SDL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</si>
</sst>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7" zoomScaleNormal="100" workbookViewId="0">
      <selection activeCell="G50" sqref="G5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0.7265625" customWidth="1"/>
    <col min="5" max="5" width="23.6328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70">
        <v>1</v>
      </c>
      <c r="B20" s="85" t="s">
        <v>52</v>
      </c>
      <c r="C20" s="85" t="s">
        <v>58</v>
      </c>
      <c r="D20" s="85" t="str">
        <f t="shared" ref="D20:E23" si="0">B20&amp;"-"&amp;C20</f>
        <v>EHH108-26-EVP</v>
      </c>
      <c r="E20" s="86" t="s">
        <v>70</v>
      </c>
      <c r="F20" s="86" t="s">
        <v>65</v>
      </c>
      <c r="G20" s="86" t="s">
        <v>67</v>
      </c>
      <c r="H20" s="86">
        <v>99153227</v>
      </c>
      <c r="I20" s="85">
        <v>200</v>
      </c>
      <c r="J20" s="87">
        <v>1759753</v>
      </c>
      <c r="K20" s="87" t="s">
        <v>47</v>
      </c>
      <c r="L20" s="75"/>
      <c r="M20" s="78"/>
      <c r="N20" s="71">
        <v>270</v>
      </c>
    </row>
    <row r="21" spans="1:14" ht="14.5" x14ac:dyDescent="0.35">
      <c r="A21" s="70">
        <v>2</v>
      </c>
      <c r="B21" s="85" t="s">
        <v>52</v>
      </c>
      <c r="C21" s="85" t="s">
        <v>59</v>
      </c>
      <c r="D21" s="85" t="str">
        <f t="shared" si="0"/>
        <v>EHH108-26-LPT</v>
      </c>
      <c r="E21" s="85" t="s">
        <v>71</v>
      </c>
      <c r="F21" s="86" t="s">
        <v>66</v>
      </c>
      <c r="G21" s="86" t="s">
        <v>68</v>
      </c>
      <c r="H21" s="86">
        <v>99153172</v>
      </c>
      <c r="I21" s="85">
        <v>406</v>
      </c>
      <c r="J21" s="87">
        <v>1759753</v>
      </c>
      <c r="K21" s="87" t="s">
        <v>47</v>
      </c>
      <c r="L21" s="75"/>
      <c r="M21" s="78"/>
      <c r="N21" s="71">
        <v>270</v>
      </c>
    </row>
    <row r="22" spans="1:14" s="91" customFormat="1" ht="14.5" x14ac:dyDescent="0.35">
      <c r="A22" s="88">
        <v>3</v>
      </c>
      <c r="B22" s="85" t="s">
        <v>52</v>
      </c>
      <c r="C22" s="85" t="s">
        <v>60</v>
      </c>
      <c r="D22" s="85" t="str">
        <f t="shared" si="0"/>
        <v>EHH108-26-TLP</v>
      </c>
      <c r="E22" s="85" t="s">
        <v>72</v>
      </c>
      <c r="F22" s="86" t="s">
        <v>46</v>
      </c>
      <c r="G22" s="86" t="s">
        <v>69</v>
      </c>
      <c r="H22" s="86">
        <v>99153239</v>
      </c>
      <c r="I22" s="85">
        <v>409</v>
      </c>
      <c r="J22" s="87">
        <v>1759753</v>
      </c>
      <c r="K22" s="87" t="s">
        <v>47</v>
      </c>
      <c r="L22" s="89"/>
      <c r="M22" s="90"/>
      <c r="N22" s="71">
        <v>270</v>
      </c>
    </row>
    <row r="23" spans="1:14" ht="14.5" x14ac:dyDescent="0.35">
      <c r="A23" s="70">
        <v>4</v>
      </c>
      <c r="B23" s="85" t="s">
        <v>53</v>
      </c>
      <c r="C23" s="85" t="s">
        <v>61</v>
      </c>
      <c r="D23" s="85" t="str">
        <f t="shared" si="0"/>
        <v>EHH281-42-003</v>
      </c>
      <c r="E23" s="85" t="s">
        <v>73</v>
      </c>
      <c r="F23" s="86" t="s">
        <v>75</v>
      </c>
      <c r="G23" s="86" t="s">
        <v>77</v>
      </c>
      <c r="H23" s="86">
        <v>99154007</v>
      </c>
      <c r="I23" s="85">
        <v>49</v>
      </c>
      <c r="J23" s="87">
        <v>1759754</v>
      </c>
      <c r="K23" s="87" t="s">
        <v>48</v>
      </c>
      <c r="L23" s="75"/>
      <c r="M23" s="78"/>
      <c r="N23" s="71">
        <v>270</v>
      </c>
    </row>
    <row r="24" spans="1:14" s="91" customFormat="1" ht="14.5" x14ac:dyDescent="0.35">
      <c r="A24" s="88">
        <v>5</v>
      </c>
      <c r="B24" s="85" t="s">
        <v>54</v>
      </c>
      <c r="C24" s="85" t="s">
        <v>61</v>
      </c>
      <c r="D24" s="85" t="str">
        <f>B24&amp;"-"&amp;C24</f>
        <v>EHH419R1-42-003</v>
      </c>
      <c r="E24" s="85" t="s">
        <v>74</v>
      </c>
      <c r="F24" s="86" t="s">
        <v>76</v>
      </c>
      <c r="G24" s="86" t="s">
        <v>78</v>
      </c>
      <c r="H24" s="86">
        <v>99154010</v>
      </c>
      <c r="I24" s="85">
        <v>163</v>
      </c>
      <c r="J24" s="87">
        <v>1759754</v>
      </c>
      <c r="K24" s="87" t="s">
        <v>48</v>
      </c>
      <c r="L24" s="89"/>
      <c r="M24" s="90"/>
      <c r="N24" s="71">
        <v>270</v>
      </c>
    </row>
    <row r="25" spans="1:14" ht="14.5" x14ac:dyDescent="0.35">
      <c r="A25" s="70">
        <v>6</v>
      </c>
      <c r="B25" s="85" t="s">
        <v>53</v>
      </c>
      <c r="C25" s="85" t="s">
        <v>61</v>
      </c>
      <c r="D25" s="85" t="str">
        <f t="shared" ref="D25:E29" si="1">B25&amp;"-"&amp;C25</f>
        <v>EHH281-42-003</v>
      </c>
      <c r="E25" s="85" t="s">
        <v>73</v>
      </c>
      <c r="F25" s="86" t="s">
        <v>75</v>
      </c>
      <c r="G25" s="86" t="s">
        <v>77</v>
      </c>
      <c r="H25" s="86">
        <v>99154007</v>
      </c>
      <c r="I25" s="85">
        <v>169</v>
      </c>
      <c r="J25" s="87">
        <v>1759755</v>
      </c>
      <c r="K25" s="87" t="s">
        <v>49</v>
      </c>
      <c r="L25" s="75"/>
      <c r="M25" s="78"/>
      <c r="N25" s="71">
        <v>270</v>
      </c>
    </row>
    <row r="26" spans="1:14" s="91" customFormat="1" ht="14.5" x14ac:dyDescent="0.35">
      <c r="A26" s="88">
        <v>7</v>
      </c>
      <c r="B26" s="85" t="s">
        <v>54</v>
      </c>
      <c r="C26" s="85" t="s">
        <v>61</v>
      </c>
      <c r="D26" s="85" t="str">
        <f t="shared" si="1"/>
        <v>EHH419R1-42-003</v>
      </c>
      <c r="E26" s="85" t="s">
        <v>74</v>
      </c>
      <c r="F26" s="86" t="s">
        <v>76</v>
      </c>
      <c r="G26" s="86" t="s">
        <v>78</v>
      </c>
      <c r="H26" s="86">
        <v>99154010</v>
      </c>
      <c r="I26" s="85">
        <v>437</v>
      </c>
      <c r="J26" s="87">
        <v>1759755</v>
      </c>
      <c r="K26" s="87" t="s">
        <v>49</v>
      </c>
      <c r="L26" s="89"/>
      <c r="M26" s="90"/>
      <c r="N26" s="71">
        <v>270</v>
      </c>
    </row>
    <row r="27" spans="1:14" ht="14.5" x14ac:dyDescent="0.35">
      <c r="A27" s="70">
        <v>8</v>
      </c>
      <c r="B27" s="85" t="s">
        <v>55</v>
      </c>
      <c r="C27" s="85" t="s">
        <v>62</v>
      </c>
      <c r="D27" s="85" t="str">
        <f t="shared" si="1"/>
        <v>WMH1481K-42-AD7</v>
      </c>
      <c r="E27" s="85" t="str">
        <f t="shared" si="1"/>
        <v>AD7-WMH1481K-42-AD7</v>
      </c>
      <c r="F27" s="86" t="s">
        <v>82</v>
      </c>
      <c r="G27" s="86" t="s">
        <v>84</v>
      </c>
      <c r="H27" s="86">
        <v>99510340</v>
      </c>
      <c r="I27" s="85">
        <v>98</v>
      </c>
      <c r="J27" s="87">
        <v>1759756</v>
      </c>
      <c r="K27" s="87" t="s">
        <v>50</v>
      </c>
      <c r="L27" s="75"/>
      <c r="M27" s="78"/>
      <c r="N27" s="71">
        <v>272</v>
      </c>
    </row>
    <row r="28" spans="1:14" ht="14.5" x14ac:dyDescent="0.35">
      <c r="A28" s="70">
        <v>9</v>
      </c>
      <c r="B28" s="85" t="s">
        <v>56</v>
      </c>
      <c r="C28" s="85" t="s">
        <v>63</v>
      </c>
      <c r="D28" s="85" t="str">
        <f t="shared" si="1"/>
        <v>WMH27501J-42-285</v>
      </c>
      <c r="E28" s="85" t="str">
        <f t="shared" si="1"/>
        <v>285-WMH27501J-42-285</v>
      </c>
      <c r="F28" s="86" t="s">
        <v>87</v>
      </c>
      <c r="G28" s="86" t="s">
        <v>88</v>
      </c>
      <c r="H28" s="86">
        <v>99510352</v>
      </c>
      <c r="I28" s="85">
        <v>382</v>
      </c>
      <c r="J28" s="87">
        <v>1759756</v>
      </c>
      <c r="K28" s="87" t="s">
        <v>50</v>
      </c>
      <c r="L28" s="75"/>
      <c r="M28" s="78"/>
      <c r="N28" s="71">
        <v>272</v>
      </c>
    </row>
    <row r="29" spans="1:14" ht="14.5" x14ac:dyDescent="0.35">
      <c r="A29" s="70">
        <v>10</v>
      </c>
      <c r="B29" s="85" t="s">
        <v>56</v>
      </c>
      <c r="C29" s="85" t="s">
        <v>64</v>
      </c>
      <c r="D29" s="85" t="str">
        <f t="shared" si="1"/>
        <v>WMH27501J-42-SDL</v>
      </c>
      <c r="E29" s="85" t="str">
        <f t="shared" si="1"/>
        <v>SDL-WMH27501J-42-SDL</v>
      </c>
      <c r="F29" s="86" t="s">
        <v>80</v>
      </c>
      <c r="G29" s="86" t="s">
        <v>88</v>
      </c>
      <c r="H29" s="86">
        <v>99510364</v>
      </c>
      <c r="I29" s="85">
        <v>505</v>
      </c>
      <c r="J29" s="87">
        <v>1759756</v>
      </c>
      <c r="K29" s="87" t="s">
        <v>50</v>
      </c>
      <c r="L29" s="75"/>
      <c r="M29" s="78"/>
      <c r="N29" s="71">
        <v>272</v>
      </c>
    </row>
    <row r="30" spans="1:14" s="91" customFormat="1" ht="14.5" x14ac:dyDescent="0.35">
      <c r="A30" s="88">
        <v>11</v>
      </c>
      <c r="B30" s="86" t="s">
        <v>57</v>
      </c>
      <c r="C30" s="85" t="s">
        <v>64</v>
      </c>
      <c r="D30" s="86" t="s">
        <v>79</v>
      </c>
      <c r="E30" s="85" t="s">
        <v>79</v>
      </c>
      <c r="F30" s="86" t="s">
        <v>80</v>
      </c>
      <c r="G30" s="86" t="s">
        <v>81</v>
      </c>
      <c r="H30" s="86">
        <v>99510377</v>
      </c>
      <c r="I30" s="85">
        <v>451</v>
      </c>
      <c r="J30" s="87">
        <v>1759756</v>
      </c>
      <c r="K30" s="87" t="s">
        <v>50</v>
      </c>
      <c r="L30" s="89"/>
      <c r="M30" s="90"/>
      <c r="N30" s="71">
        <v>272</v>
      </c>
    </row>
    <row r="31" spans="1:14" ht="14.5" x14ac:dyDescent="0.35">
      <c r="A31" s="70">
        <v>12</v>
      </c>
      <c r="B31" s="86" t="s">
        <v>55</v>
      </c>
      <c r="C31" s="85" t="s">
        <v>62</v>
      </c>
      <c r="D31" s="86" t="s">
        <v>83</v>
      </c>
      <c r="E31" s="85" t="s">
        <v>83</v>
      </c>
      <c r="F31" s="86" t="s">
        <v>82</v>
      </c>
      <c r="G31" s="86" t="s">
        <v>84</v>
      </c>
      <c r="H31" s="86">
        <v>99510340</v>
      </c>
      <c r="I31" s="85">
        <v>18</v>
      </c>
      <c r="J31" s="87">
        <v>1759757</v>
      </c>
      <c r="K31" s="87" t="s">
        <v>51</v>
      </c>
      <c r="L31" s="75"/>
      <c r="M31" s="78"/>
      <c r="N31" s="71">
        <v>272</v>
      </c>
    </row>
    <row r="32" spans="1:14" ht="13" x14ac:dyDescent="0.25">
      <c r="A32" s="70">
        <v>13</v>
      </c>
      <c r="B32" s="85" t="s">
        <v>56</v>
      </c>
      <c r="C32" s="85" t="s">
        <v>63</v>
      </c>
      <c r="D32" s="86" t="s">
        <v>85</v>
      </c>
      <c r="E32" s="86" t="s">
        <v>86</v>
      </c>
      <c r="F32" s="86" t="s">
        <v>87</v>
      </c>
      <c r="G32" s="86" t="s">
        <v>88</v>
      </c>
      <c r="H32" s="86">
        <v>99510352</v>
      </c>
      <c r="I32" s="85">
        <v>78</v>
      </c>
      <c r="J32" s="85">
        <v>1759757</v>
      </c>
      <c r="K32" s="85" t="s">
        <v>51</v>
      </c>
      <c r="L32" s="75"/>
      <c r="M32" s="78"/>
      <c r="N32" s="71">
        <v>272</v>
      </c>
    </row>
    <row r="33" spans="1:14" ht="13" x14ac:dyDescent="0.25">
      <c r="A33" s="70">
        <v>14</v>
      </c>
      <c r="B33" s="85" t="s">
        <v>56</v>
      </c>
      <c r="C33" s="85" t="s">
        <v>64</v>
      </c>
      <c r="D33" s="86" t="s">
        <v>89</v>
      </c>
      <c r="E33" s="86" t="s">
        <v>89</v>
      </c>
      <c r="F33" s="86" t="s">
        <v>80</v>
      </c>
      <c r="G33" s="86" t="s">
        <v>88</v>
      </c>
      <c r="H33" s="86">
        <v>99510364</v>
      </c>
      <c r="I33" s="85">
        <v>95</v>
      </c>
      <c r="J33" s="85">
        <v>1759757</v>
      </c>
      <c r="K33" s="85" t="s">
        <v>51</v>
      </c>
      <c r="L33" s="75"/>
      <c r="M33" s="78"/>
      <c r="N33" s="71">
        <v>272</v>
      </c>
    </row>
    <row r="34" spans="1:14" ht="13" x14ac:dyDescent="0.25">
      <c r="A34" s="70">
        <v>15</v>
      </c>
      <c r="B34" s="85" t="s">
        <v>57</v>
      </c>
      <c r="C34" s="85" t="s">
        <v>64</v>
      </c>
      <c r="D34" s="86" t="s">
        <v>79</v>
      </c>
      <c r="E34" s="86" t="s">
        <v>79</v>
      </c>
      <c r="F34" s="86" t="s">
        <v>80</v>
      </c>
      <c r="G34" s="86" t="s">
        <v>81</v>
      </c>
      <c r="H34" s="86">
        <v>99510377</v>
      </c>
      <c r="I34" s="85">
        <v>89</v>
      </c>
      <c r="J34" s="85">
        <v>1759757</v>
      </c>
      <c r="K34" s="85" t="s">
        <v>51</v>
      </c>
      <c r="L34" s="75"/>
      <c r="M34" s="78"/>
      <c r="N34" s="71">
        <v>272</v>
      </c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EHH108-26-EVP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EHH108-26</v>
      </c>
      <c r="C92" s="61" t="str">
        <f>INDEX($A$20:$I$79,$A92,3)</f>
        <v>EVP</v>
      </c>
      <c r="D92" s="17"/>
      <c r="E92" s="60">
        <f>INDEX($A$20:$I$79,$A92,9)</f>
        <v>200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99153227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EHH108-26-EVP/Black Tattoo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Eve Twill Tote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2026-05-21T14:17:18Z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