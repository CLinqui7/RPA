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60" documentId="8_{0EBB2938-9D16-473B-B306-699D55C5D276}" xr6:coauthVersionLast="47" xr6:coauthVersionMax="47" xr10:uidLastSave="{E709CE74-298F-44A2-93E8-EB2113819128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<sst xmlns="http://schemas.openxmlformats.org/spreadsheetml/2006/main" count="72" uniqueCount="55">
  <si>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</si>
  <si>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</si>
  <si>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</si>
  <si>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</si>
  <si>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</si>
  <si>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</si>
  <si>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</si>
  <si>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</si>
  <si>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</si>
  <si>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</si>
  <si>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</si>
  <si>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</si>
  <si>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</si>
  <si>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</si>
  <si>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</si>
  <si>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</si>
  <si>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</si>
  <si>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</si>
  <si>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</si>
  <si>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</si>
  <si>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</si>
  <si>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</si>
  <si>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</si>
  <si>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</si>
  <si>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</si>
  <si>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</si>
  <si>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</si>
  <si>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</si>
  <si>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</si>
  <si>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</si>
  <si>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</si>
  <si>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</si>
  <si>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</si>
  <si>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</si>
  <si>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</si>
  <si>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</si>
  <si>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</si>
  <si>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</si>
  <si>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</si>
  <si>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</si>
  <si>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</si>
  <si>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</si>
  <si>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</si>
  <si>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</si>
  <si>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</si>
  <si>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</si>
  <si>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1902430</t>
  </si>
  <si>
    <t>1902431</t>
  </si>
  <si>
    <t>PL0314AS</t>
  </si>
  <si>
    <t>PL1607AS</t>
  </si>
  <si>
    <t>L03</t>
  </si>
  <si>
    <t>GMI</t>
  </si>
  <si>
    <t>No Color</t>
  </si>
  <si>
    <t>CUTICL NIPPR BL</t>
  </si>
  <si>
    <t>4P ManiSetCuticleOil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</si>
</sst>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5" fillId="0" borderId="0" xfId="0" applyFont="1"/>
    <xf numFmtId="0" fontId="0" fillId="2" borderId="0" xfId="0" applyFill="1"/>
    <xf numFmtId="0" fontId="11" fillId="0" borderId="0" xfId="0" applyFont="1" applyAlignment="1">
      <alignment horizontal="center"/>
    </xf>
    <xf numFmtId="0" fontId="12" fillId="0" borderId="0" xfId="0" applyFont="1"/>
    <xf numFmtId="0" fontId="4" fillId="2" borderId="0" xfId="0" applyFont="1" applyFill="1"/>
    <xf numFmtId="0" fontId="8" fillId="2" borderId="0" xfId="0" applyFont="1" applyFill="1"/>
    <xf numFmtId="0" fontId="13" fillId="0" borderId="0" xfId="0" applyFont="1"/>
    <xf numFmtId="0" fontId="0" fillId="3" borderId="1" xfId="0" applyFill="1" applyBorder="1"/>
    <xf numFmtId="0" fontId="4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9" fillId="3" borderId="0" xfId="0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9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6" fillId="4" borderId="0" xfId="0" applyFont="1" applyFill="1"/>
    <xf numFmtId="0" fontId="20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10" fillId="4" borderId="0" xfId="0" applyFont="1" applyFill="1"/>
    <xf numFmtId="0" fontId="9" fillId="4" borderId="0" xfId="0" applyFont="1" applyFill="1"/>
    <xf numFmtId="0" fontId="6" fillId="4" borderId="0" xfId="0" applyFont="1" applyFill="1" applyAlignment="1">
      <alignment horizontal="left"/>
    </xf>
    <xf numFmtId="0" fontId="16" fillId="0" borderId="4" xfId="0" applyFont="1" applyBorder="1"/>
    <xf numFmtId="0" fontId="17" fillId="0" borderId="8" xfId="0" applyFont="1" applyBorder="1"/>
    <xf numFmtId="0" fontId="16" fillId="0" borderId="8" xfId="0" applyFont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1" fillId="0" borderId="0" xfId="0" applyFont="1" applyAlignment="1">
      <alignment horizontal="left"/>
    </xf>
    <xf numFmtId="0" fontId="9" fillId="3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3" borderId="9" xfId="0" applyFill="1" applyBorder="1"/>
    <xf numFmtId="0" fontId="23" fillId="0" borderId="8" xfId="0" applyFont="1" applyBorder="1" applyAlignment="1">
      <alignment horizontal="left"/>
    </xf>
    <xf numFmtId="0" fontId="10" fillId="4" borderId="0" xfId="0" applyFont="1" applyFill="1" applyAlignment="1">
      <alignment horizontal="left"/>
    </xf>
    <xf numFmtId="0" fontId="0" fillId="0" borderId="7" xfId="0" applyBorder="1"/>
    <xf numFmtId="164" fontId="10" fillId="4" borderId="0" xfId="0" applyNumberFormat="1" applyFont="1" applyFill="1"/>
    <xf numFmtId="0" fontId="24" fillId="2" borderId="0" xfId="0" applyFont="1" applyFill="1"/>
    <xf numFmtId="0" fontId="25" fillId="2" borderId="0" xfId="0" applyFont="1" applyFill="1"/>
    <xf numFmtId="0" fontId="18" fillId="3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4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7" fillId="9" borderId="8" xfId="0" applyFont="1" applyFill="1" applyBorder="1" applyAlignment="1">
      <alignment horizontal="center" wrapText="1"/>
    </xf>
    <xf numFmtId="0" fontId="10" fillId="6" borderId="11" xfId="0" applyFont="1" applyFill="1" applyBorder="1"/>
    <xf numFmtId="0" fontId="0" fillId="6" borderId="0" xfId="0" applyFill="1"/>
    <xf numFmtId="0" fontId="28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8" fillId="8" borderId="18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  <xf numFmtId="0" fontId="29" fillId="6" borderId="0" xfId="0" applyFont="1" applyFill="1"/>
    <xf numFmtId="0" fontId="18" fillId="5" borderId="19" xfId="0" applyFont="1" applyFill="1" applyBorder="1" applyAlignment="1">
      <alignment horizontal="center"/>
    </xf>
    <xf numFmtId="0" fontId="0" fillId="0" borderId="11" xfId="0" applyBorder="1"/>
    <xf numFmtId="0" fontId="2" fillId="0" borderId="11" xfId="0" applyFont="1" applyBorder="1"/>
    <xf numFmtId="0" fontId="30" fillId="0" borderId="11" xfId="0" applyFont="1" applyBorder="1"/>
    <xf numFmtId="0" fontId="28" fillId="11" borderId="11" xfId="1" applyFill="1" applyBorder="1" applyAlignment="1">
      <alignment vertical="center" wrapText="1"/>
    </xf>
    <xf numFmtId="0" fontId="18" fillId="8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11" borderId="11" xfId="1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0" fontId="18" fillId="7" borderId="11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/>
    </xf>
    <xf numFmtId="0" fontId="2" fillId="7" borderId="11" xfId="0" applyFont="1" applyFill="1" applyBorder="1"/>
    <xf numFmtId="0" fontId="28" fillId="7" borderId="11" xfId="1" applyFill="1" applyBorder="1" applyAlignment="1">
      <alignment vertical="center" wrapText="1"/>
    </xf>
    <xf numFmtId="0" fontId="2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2" fillId="0" borderId="11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24" fillId="10" borderId="12" xfId="0" applyFont="1" applyFill="1" applyBorder="1" applyAlignment="1">
      <alignment horizontal="center"/>
    </xf>
    <xf numFmtId="0" fontId="24" fillId="10" borderId="15" xfId="0" applyFont="1" applyFill="1" applyBorder="1" applyAlignment="1">
      <alignment horizontal="center"/>
    </xf>
    <xf numFmtId="0" fontId="24" fillId="10" borderId="13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10" zoomScale="91" zoomScaleNormal="91" workbookViewId="0">
      <selection activeCell="E27" sqref="E27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ht="14.5" x14ac:dyDescent="0.35">
      <c r="A20" s="70">
        <v>1</v>
      </c>
      <c r="B20" s="98" t="s">
        <v>48</v>
      </c>
      <c r="C20" s="98" t="s">
        <v>50</v>
      </c>
      <c r="D20" s="97" t="str">
        <f t="shared" ref="D20:D24" si="0">B20&amp;"-"&amp;C20</f>
        <v>PL0314AS-L03</v>
      </c>
      <c r="E20" s="98" t="s">
        <v>48</v>
      </c>
      <c r="F20" s="98" t="s">
        <v>52</v>
      </c>
      <c r="G20" s="98" t="s">
        <v>53</v>
      </c>
      <c r="H20" s="98">
        <v>154890</v>
      </c>
      <c r="I20" s="98">
        <v>360</v>
      </c>
      <c r="J20" s="99">
        <v>1763689</v>
      </c>
      <c r="K20" s="99" t="s">
        <v>46</v>
      </c>
      <c r="L20" s="75"/>
      <c r="M20" s="77"/>
      <c r="N20" s="71"/>
    </row>
    <row r="21" spans="1:14" ht="14.5" x14ac:dyDescent="0.35">
      <c r="A21" s="70">
        <v>2</v>
      </c>
      <c r="B21" s="98" t="s">
        <v>49</v>
      </c>
      <c r="C21" s="98" t="s">
        <v>51</v>
      </c>
      <c r="D21" s="97" t="str">
        <f t="shared" si="0"/>
        <v>PL1607AS-GMI</v>
      </c>
      <c r="E21" s="98" t="s">
        <v>49</v>
      </c>
      <c r="F21" s="98" t="s">
        <v>52</v>
      </c>
      <c r="G21" s="98" t="s">
        <v>54</v>
      </c>
      <c r="H21" s="98">
        <v>154906</v>
      </c>
      <c r="I21" s="98">
        <v>576</v>
      </c>
      <c r="J21" s="99">
        <v>1763689</v>
      </c>
      <c r="K21" s="99" t="s">
        <v>46</v>
      </c>
      <c r="L21" s="75"/>
      <c r="M21" s="77"/>
      <c r="N21" s="71"/>
    </row>
    <row r="22" spans="1:14" ht="14.5" x14ac:dyDescent="0.35">
      <c r="A22" s="70">
        <v>19</v>
      </c>
      <c r="B22" s="98" t="s">
        <v>48</v>
      </c>
      <c r="C22" s="98" t="s">
        <v>50</v>
      </c>
      <c r="D22" s="97" t="str">
        <f t="shared" si="0"/>
        <v>PL0314AS-L03</v>
      </c>
      <c r="E22" s="98" t="s">
        <v>48</v>
      </c>
      <c r="F22" s="98" t="s">
        <v>52</v>
      </c>
      <c r="G22" s="98" t="s">
        <v>53</v>
      </c>
      <c r="H22" s="98">
        <v>154890</v>
      </c>
      <c r="I22" s="98">
        <v>216</v>
      </c>
      <c r="J22" s="100">
        <v>1763690</v>
      </c>
      <c r="K22" s="100" t="s">
        <v>47</v>
      </c>
      <c r="L22" s="75"/>
      <c r="M22" s="77"/>
      <c r="N22" s="71"/>
    </row>
    <row r="23" spans="1:14" ht="18.5" x14ac:dyDescent="0.45">
      <c r="A23" s="70">
        <v>20</v>
      </c>
      <c r="B23" s="82"/>
      <c r="C23" s="82"/>
      <c r="D23" s="89"/>
      <c r="E23" s="90"/>
      <c r="F23" s="90"/>
      <c r="G23" s="90"/>
      <c r="H23" s="90"/>
      <c r="I23" s="82"/>
      <c r="J23" s="82"/>
      <c r="K23" s="82"/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9"/>
      <c r="E24" s="90"/>
      <c r="F24" s="90"/>
      <c r="G24" s="90"/>
      <c r="H24" s="90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1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PL0314AS-L03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PL0314AS</v>
      </c>
      <c r="C76" s="61" t="str">
        <f>INDEX($A$20:$I$63,$A76,3)</f>
        <v>L03</v>
      </c>
      <c r="D76" s="17"/>
      <c r="E76" s="60">
        <f>INDEX($A$20:$I$63,$A76,9)</f>
        <v>360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154890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PL0314AS/No Color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CUTICL NIPPR BL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2026-06-11T14:47:38Z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