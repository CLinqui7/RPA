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320" documentId="8_{0EBB2938-9D16-473B-B306-699D55C5D276}" xr6:coauthVersionLast="47" xr6:coauthVersionMax="47" xr10:uidLastSave="{F4D17270-649B-4FE8-ADC5-B6E031E8D9C4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1" i="1"/>
  <c r="C85" i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<sst xmlns="http://schemas.openxmlformats.org/spreadsheetml/2006/main" count="66" uniqueCount="54">
  <si>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</si>
  <si>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</si>
  <si>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</si>
  <si>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</si>
  <si>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</si>
  <si>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</si>
  <si>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</si>
  <si>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</si>
  <si>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</si>
  <si>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</si>
  <si>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</si>
  <si>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</si>
  <si>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</si>
  <si>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</si>
  <si>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</si>
  <si>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</si>
  <si>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</si>
  <si>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</si>
  <si>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</si>
  <si>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</si>
  <si>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</si>
  <si>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</si>
  <si>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</si>
  <si>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</si>
  <si>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</si>
  <si>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</si>
  <si>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</si>
  <si>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</si>
  <si>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</si>
  <si>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</si>
  <si>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</si>
  <si>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</si>
  <si>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</si>
  <si>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</si>
  <si>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</si>
  <si>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</si>
  <si>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</si>
  <si>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</si>
  <si>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</si>
  <si>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</si>
  <si>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</si>
  <si>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</si>
  <si>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</si>
  <si>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</si>
  <si>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</si>
  <si>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</si>
  <si>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EHH701-42</t>
  </si>
  <si>
    <t>374</t>
  </si>
  <si>
    <t>1927900</t>
  </si>
  <si>
    <t>1927901</t>
  </si>
  <si>
    <t>WIlma Sm Satchel</t>
  </si>
  <si>
    <t>EHH701-42 374</t>
  </si>
  <si>
    <t>Cheetah</t>
  </si>
  <si>
    <t>EHH701-42 375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</si>
</sst>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4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4"/>
      <name val="Arial"/>
      <family val="2"/>
    </font>
    <font>
      <sz val="14"/>
      <color theme="1"/>
      <name val="Calibri"/>
      <family val="2"/>
    </font>
    <font>
      <u/>
      <sz val="14"/>
      <color theme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12" fillId="8" borderId="11" xfId="0" applyFont="1" applyFill="1" applyBorder="1" applyAlignment="1">
      <alignment horizontal="center"/>
    </xf>
    <xf numFmtId="0" fontId="12" fillId="8" borderId="18" xfId="0" applyFont="1" applyFill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31" fillId="0" borderId="11" xfId="0" applyFont="1" applyBorder="1"/>
    <xf numFmtId="0" fontId="33" fillId="11" borderId="11" xfId="1" applyFont="1" applyFill="1" applyBorder="1" applyAlignment="1">
      <alignment vertical="center" wrapText="1"/>
    </xf>
    <xf numFmtId="0" fontId="31" fillId="6" borderId="11" xfId="0" quotePrefix="1" applyFont="1" applyFill="1" applyBorder="1" applyAlignment="1">
      <alignment horizontal="center" vertical="center"/>
    </xf>
    <xf numFmtId="0" fontId="31" fillId="7" borderId="11" xfId="0" applyFont="1" applyFill="1" applyBorder="1" applyAlignment="1">
      <alignment horizontal="center" vertical="center"/>
    </xf>
    <xf numFmtId="0" fontId="31" fillId="11" borderId="11" xfId="1" applyFont="1" applyFill="1" applyBorder="1" applyAlignment="1">
      <alignment horizontal="center" vertical="center" wrapText="1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A6" zoomScale="91" zoomScaleNormal="91" workbookViewId="0">
      <selection activeCell="G27" sqref="G27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5.1796875" customWidth="1"/>
    <col min="5" max="5" width="19.26953125" customWidth="1"/>
    <col min="6" max="6" width="15.453125" customWidth="1"/>
    <col min="7" max="7" width="43.81640625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8" t="s">
        <v>32</v>
      </c>
      <c r="F2" s="89"/>
      <c r="G2" s="90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91" t="s">
        <v>33</v>
      </c>
      <c r="D7" s="92"/>
      <c r="E7" s="66" t="s">
        <v>42</v>
      </c>
      <c r="F7" s="71" t="s">
        <v>39</v>
      </c>
      <c r="G7" s="71"/>
      <c r="H7" s="71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8" x14ac:dyDescent="0.4">
      <c r="A19" s="68"/>
      <c r="B19" s="78" t="s">
        <v>14</v>
      </c>
      <c r="C19" s="78" t="s">
        <v>20</v>
      </c>
      <c r="D19" s="78" t="s">
        <v>15</v>
      </c>
      <c r="E19" s="78" t="s">
        <v>21</v>
      </c>
      <c r="F19" s="78" t="s">
        <v>17</v>
      </c>
      <c r="G19" s="79" t="s">
        <v>18</v>
      </c>
      <c r="H19" s="79" t="s">
        <v>34</v>
      </c>
      <c r="I19" s="80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18.5" x14ac:dyDescent="0.45">
      <c r="A20" s="69">
        <v>1</v>
      </c>
      <c r="B20" s="81" t="s">
        <v>46</v>
      </c>
      <c r="C20" s="81" t="s">
        <v>47</v>
      </c>
      <c r="D20" s="81" t="str">
        <f t="shared" ref="D20" si="0">B20&amp;"-"&amp;C20</f>
        <v>EHH701-42-374</v>
      </c>
      <c r="E20" s="81" t="s">
        <v>51</v>
      </c>
      <c r="F20" s="81" t="s">
        <v>52</v>
      </c>
      <c r="G20" s="81" t="s">
        <v>50</v>
      </c>
      <c r="H20" s="81">
        <v>99156084</v>
      </c>
      <c r="I20" s="81">
        <v>514</v>
      </c>
      <c r="J20" s="82">
        <v>1772562</v>
      </c>
      <c r="K20" s="82" t="s">
        <v>48</v>
      </c>
      <c r="L20" s="83"/>
      <c r="M20" s="84"/>
      <c r="N20" s="85"/>
    </row>
    <row r="21" spans="1:14" ht="18.5" x14ac:dyDescent="0.45">
      <c r="A21" s="69">
        <v>2</v>
      </c>
      <c r="B21" s="81" t="s">
        <v>46</v>
      </c>
      <c r="C21" s="81" t="s">
        <v>47</v>
      </c>
      <c r="D21" s="81" t="str">
        <f>B21&amp;"-"&amp;C21</f>
        <v>EHH701-42-374</v>
      </c>
      <c r="E21" s="81" t="s">
        <v>53</v>
      </c>
      <c r="F21" s="81" t="s">
        <v>52</v>
      </c>
      <c r="G21" s="81" t="s">
        <v>50</v>
      </c>
      <c r="H21" s="81">
        <v>99156084</v>
      </c>
      <c r="I21" s="81">
        <v>986</v>
      </c>
      <c r="J21" s="82">
        <v>1772563</v>
      </c>
      <c r="K21" s="82" t="s">
        <v>49</v>
      </c>
      <c r="L21" s="83"/>
      <c r="M21" s="84"/>
      <c r="N21" s="85"/>
    </row>
    <row r="22" spans="1:14" ht="17.5" x14ac:dyDescent="0.35">
      <c r="A22" s="69">
        <v>19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74"/>
      <c r="M22" s="77"/>
      <c r="N22" s="70"/>
    </row>
    <row r="23" spans="1:14" ht="17.5" x14ac:dyDescent="0.35">
      <c r="A23" s="69">
        <v>20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74"/>
      <c r="M23" s="77"/>
      <c r="N23" s="70"/>
    </row>
    <row r="24" spans="1:14" ht="17.5" x14ac:dyDescent="0.35">
      <c r="A24" s="69">
        <v>21</v>
      </c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74"/>
      <c r="M24" s="77"/>
      <c r="N24" s="70"/>
    </row>
    <row r="25" spans="1:14" ht="17.5" x14ac:dyDescent="0.35">
      <c r="A25" s="69">
        <v>22</v>
      </c>
      <c r="B25" s="81"/>
      <c r="C25" s="81"/>
      <c r="D25" s="81"/>
      <c r="E25" s="81"/>
      <c r="F25" s="87"/>
      <c r="G25" s="81"/>
      <c r="H25" s="86"/>
      <c r="I25" s="81"/>
      <c r="J25" s="81"/>
      <c r="K25" s="81"/>
      <c r="L25" s="74"/>
      <c r="M25" s="77"/>
      <c r="N25" s="70"/>
    </row>
    <row r="26" spans="1:14" ht="17.5" x14ac:dyDescent="0.35">
      <c r="A26" s="69">
        <v>23</v>
      </c>
      <c r="B26" s="81"/>
      <c r="C26" s="81"/>
      <c r="D26" s="81"/>
      <c r="E26" s="81"/>
      <c r="F26" s="81"/>
      <c r="G26" s="81"/>
      <c r="H26" s="86"/>
      <c r="I26" s="81"/>
      <c r="J26" s="81"/>
      <c r="K26" s="81"/>
      <c r="L26" s="74"/>
      <c r="M26" s="77"/>
      <c r="N26" s="70"/>
    </row>
    <row r="27" spans="1:14" ht="17.5" x14ac:dyDescent="0.35">
      <c r="A27" s="69">
        <v>24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74"/>
      <c r="M27" s="77"/>
      <c r="N27" s="70"/>
    </row>
    <row r="28" spans="1:14" ht="13" x14ac:dyDescent="0.25">
      <c r="A28" s="69">
        <v>25</v>
      </c>
      <c r="B28" s="73"/>
      <c r="C28" s="73"/>
      <c r="D28" s="73"/>
      <c r="E28" s="73"/>
      <c r="F28" s="74"/>
      <c r="G28" s="73"/>
      <c r="H28" s="67"/>
      <c r="I28" s="73"/>
      <c r="J28" s="73"/>
      <c r="K28" s="73"/>
      <c r="L28" s="74"/>
      <c r="M28" s="77"/>
      <c r="N28" s="70"/>
    </row>
    <row r="29" spans="1:14" ht="13" x14ac:dyDescent="0.25">
      <c r="A29" s="69">
        <v>26</v>
      </c>
      <c r="B29" s="73"/>
      <c r="C29" s="73"/>
      <c r="D29" s="73"/>
      <c r="E29" s="73"/>
      <c r="F29" s="74"/>
      <c r="G29" s="73"/>
      <c r="H29" s="67"/>
      <c r="I29" s="73"/>
      <c r="J29" s="73"/>
      <c r="K29" s="73"/>
      <c r="L29" s="74"/>
      <c r="M29" s="77"/>
      <c r="N29" s="70"/>
    </row>
    <row r="30" spans="1:14" ht="13" x14ac:dyDescent="0.25">
      <c r="A30" s="69">
        <v>27</v>
      </c>
      <c r="B30" s="73"/>
      <c r="C30" s="73"/>
      <c r="D30" s="73"/>
      <c r="E30" s="73"/>
      <c r="F30" s="74"/>
      <c r="G30" s="73"/>
      <c r="H30" s="67"/>
      <c r="I30" s="73"/>
      <c r="J30" s="73"/>
      <c r="K30" s="73"/>
      <c r="L30" s="74"/>
      <c r="M30" s="77"/>
      <c r="N30" s="70"/>
    </row>
    <row r="31" spans="1:14" ht="13" x14ac:dyDescent="0.25">
      <c r="A31" s="69">
        <v>28</v>
      </c>
      <c r="B31" s="73"/>
      <c r="C31" s="73"/>
      <c r="D31" s="73"/>
      <c r="E31" s="73"/>
      <c r="F31" s="74"/>
      <c r="G31" s="73"/>
      <c r="H31" s="67"/>
      <c r="I31" s="73"/>
      <c r="J31" s="73"/>
      <c r="K31" s="73"/>
      <c r="L31" s="74"/>
      <c r="M31" s="77"/>
      <c r="N31" s="70"/>
    </row>
    <row r="32" spans="1:14" ht="13" x14ac:dyDescent="0.25">
      <c r="A32" s="69">
        <v>29</v>
      </c>
      <c r="B32" s="73"/>
      <c r="C32" s="73"/>
      <c r="D32" s="74"/>
      <c r="E32" s="74"/>
      <c r="F32" s="77"/>
      <c r="G32" s="77"/>
      <c r="H32" s="67"/>
      <c r="I32" s="73"/>
      <c r="J32" s="73"/>
      <c r="K32" s="73"/>
      <c r="L32" s="74"/>
      <c r="M32" s="77"/>
      <c r="N32" s="70"/>
    </row>
    <row r="33" spans="1:14" ht="13" x14ac:dyDescent="0.25">
      <c r="A33" s="69">
        <v>30</v>
      </c>
      <c r="B33" s="73"/>
      <c r="C33" s="73"/>
      <c r="D33" s="74"/>
      <c r="E33" s="74"/>
      <c r="F33" s="77"/>
      <c r="G33" s="77"/>
      <c r="H33" s="67"/>
      <c r="I33" s="73"/>
      <c r="J33" s="73"/>
      <c r="K33" s="73"/>
      <c r="L33" s="74"/>
      <c r="M33" s="77"/>
      <c r="N33" s="70"/>
    </row>
    <row r="34" spans="1:14" ht="13" x14ac:dyDescent="0.25">
      <c r="A34" s="69">
        <v>31</v>
      </c>
      <c r="B34" s="73"/>
      <c r="C34" s="73"/>
      <c r="D34" s="74"/>
      <c r="E34" s="74"/>
      <c r="F34" s="77"/>
      <c r="G34" s="77"/>
      <c r="H34" s="67"/>
      <c r="I34" s="73"/>
      <c r="J34" s="73"/>
      <c r="K34" s="73"/>
      <c r="L34" s="74"/>
      <c r="M34" s="77"/>
      <c r="N34" s="70"/>
    </row>
    <row r="35" spans="1:14" ht="13" x14ac:dyDescent="0.25">
      <c r="A35" s="69">
        <v>32</v>
      </c>
      <c r="B35" s="73"/>
      <c r="C35" s="73"/>
      <c r="D35" s="74"/>
      <c r="E35" s="74"/>
      <c r="F35" s="77"/>
      <c r="G35" s="77"/>
      <c r="H35" s="67"/>
      <c r="I35" s="73"/>
      <c r="J35" s="73"/>
      <c r="K35" s="73"/>
      <c r="L35" s="74"/>
      <c r="M35" s="77"/>
      <c r="N35" s="70"/>
    </row>
    <row r="36" spans="1:14" ht="13" x14ac:dyDescent="0.25">
      <c r="A36" s="69">
        <v>33</v>
      </c>
      <c r="B36" s="73"/>
      <c r="C36" s="73"/>
      <c r="D36" s="73"/>
      <c r="E36" s="73"/>
      <c r="F36" s="77"/>
      <c r="G36" s="77"/>
      <c r="H36" s="67"/>
      <c r="I36" s="73"/>
      <c r="J36" s="73"/>
      <c r="K36" s="73"/>
      <c r="L36" s="74"/>
      <c r="M36" s="77"/>
      <c r="N36" s="70"/>
    </row>
    <row r="37" spans="1:14" ht="13" x14ac:dyDescent="0.25">
      <c r="A37" s="69">
        <v>34</v>
      </c>
      <c r="B37" s="73"/>
      <c r="C37" s="73"/>
      <c r="D37" s="73"/>
      <c r="E37" s="73"/>
      <c r="F37" s="77"/>
      <c r="G37" s="75"/>
      <c r="H37" s="67"/>
      <c r="I37" s="73"/>
      <c r="J37" s="73"/>
      <c r="K37" s="73"/>
      <c r="L37" s="74"/>
      <c r="M37" s="77"/>
      <c r="N37" s="70"/>
    </row>
    <row r="38" spans="1:14" ht="13" x14ac:dyDescent="0.25">
      <c r="A38" s="69">
        <v>35</v>
      </c>
      <c r="B38" s="73"/>
      <c r="C38" s="73"/>
      <c r="D38" s="73"/>
      <c r="E38" s="73"/>
      <c r="F38" s="77"/>
      <c r="G38" s="75"/>
      <c r="H38" s="67"/>
      <c r="I38" s="73"/>
      <c r="J38" s="73"/>
      <c r="K38" s="73"/>
      <c r="L38" s="74"/>
      <c r="M38" s="77"/>
      <c r="N38" s="70"/>
    </row>
    <row r="39" spans="1:14" ht="13" x14ac:dyDescent="0.25">
      <c r="A39" s="69">
        <v>36</v>
      </c>
      <c r="B39" s="73"/>
      <c r="C39" s="73"/>
      <c r="D39" s="73"/>
      <c r="E39" s="73"/>
      <c r="F39" s="74"/>
      <c r="G39" s="73"/>
      <c r="H39" s="67"/>
      <c r="I39" s="73"/>
      <c r="J39" s="73"/>
      <c r="K39" s="73"/>
      <c r="L39" s="74"/>
      <c r="M39" s="77"/>
      <c r="N39" s="70"/>
    </row>
    <row r="40" spans="1:14" ht="13" x14ac:dyDescent="0.25">
      <c r="A40" s="69">
        <v>37</v>
      </c>
      <c r="B40" s="73"/>
      <c r="C40" s="73"/>
      <c r="D40" s="73"/>
      <c r="E40" s="73"/>
      <c r="F40" s="74"/>
      <c r="G40" s="73"/>
      <c r="H40" s="67"/>
      <c r="I40" s="73"/>
      <c r="J40" s="73"/>
      <c r="K40" s="73"/>
      <c r="L40" s="74"/>
      <c r="M40" s="77"/>
      <c r="N40" s="70"/>
    </row>
    <row r="41" spans="1:14" ht="13" x14ac:dyDescent="0.25">
      <c r="A41" s="69">
        <v>38</v>
      </c>
      <c r="B41" s="73"/>
      <c r="C41" s="73"/>
      <c r="D41" s="73"/>
      <c r="E41" s="73"/>
      <c r="F41" s="74"/>
      <c r="G41" s="73"/>
      <c r="H41" s="67"/>
      <c r="I41" s="73"/>
      <c r="J41" s="73"/>
      <c r="K41" s="73"/>
      <c r="L41" s="74"/>
      <c r="M41" s="77"/>
      <c r="N41" s="70"/>
    </row>
    <row r="42" spans="1:14" ht="13" x14ac:dyDescent="0.25">
      <c r="A42" s="69">
        <v>39</v>
      </c>
      <c r="B42" s="73"/>
      <c r="C42" s="73"/>
      <c r="D42" s="73"/>
      <c r="E42" s="73"/>
      <c r="F42" s="74"/>
      <c r="G42" s="73"/>
      <c r="H42" s="67"/>
      <c r="I42" s="73"/>
      <c r="J42" s="73"/>
      <c r="K42" s="73"/>
      <c r="L42" s="74"/>
      <c r="M42" s="77"/>
      <c r="N42" s="70"/>
    </row>
    <row r="43" spans="1:14" ht="13" x14ac:dyDescent="0.25">
      <c r="A43" s="69">
        <v>40</v>
      </c>
      <c r="B43" s="73"/>
      <c r="C43" s="73"/>
      <c r="D43" s="73"/>
      <c r="E43" s="73"/>
      <c r="F43" s="74"/>
      <c r="G43" s="73"/>
      <c r="H43" s="67"/>
      <c r="I43" s="73"/>
      <c r="J43" s="73"/>
      <c r="K43" s="73"/>
      <c r="L43" s="74"/>
      <c r="M43" s="77"/>
      <c r="N43" s="70"/>
    </row>
    <row r="44" spans="1:14" ht="13" x14ac:dyDescent="0.25">
      <c r="A44" s="69">
        <v>41</v>
      </c>
      <c r="B44" s="73"/>
      <c r="C44" s="73"/>
      <c r="D44" s="73"/>
      <c r="E44" s="73"/>
      <c r="F44" s="74"/>
      <c r="G44" s="73"/>
      <c r="H44" s="67"/>
      <c r="I44" s="73"/>
      <c r="J44" s="73"/>
      <c r="K44" s="73"/>
      <c r="L44" s="74"/>
      <c r="M44" s="77"/>
      <c r="N44" s="70"/>
    </row>
    <row r="45" spans="1:14" ht="13" x14ac:dyDescent="0.25">
      <c r="A45" s="69">
        <v>42</v>
      </c>
      <c r="B45" s="73"/>
      <c r="C45" s="73"/>
      <c r="D45" s="73"/>
      <c r="E45" s="73"/>
      <c r="F45" s="74"/>
      <c r="G45" s="73"/>
      <c r="H45" s="67"/>
      <c r="I45" s="73"/>
      <c r="J45" s="73"/>
      <c r="K45" s="73"/>
      <c r="L45" s="74"/>
      <c r="M45" s="77"/>
      <c r="N45" s="70"/>
    </row>
    <row r="46" spans="1:14" ht="13" x14ac:dyDescent="0.25">
      <c r="A46" s="69">
        <v>43</v>
      </c>
      <c r="B46" s="73"/>
      <c r="C46" s="73"/>
      <c r="D46" s="73"/>
      <c r="E46" s="73"/>
      <c r="F46" s="74"/>
      <c r="G46" s="73"/>
      <c r="H46" s="67"/>
      <c r="I46" s="73"/>
      <c r="J46" s="73"/>
      <c r="K46" s="73"/>
      <c r="L46" s="74"/>
      <c r="M46" s="77"/>
      <c r="N46" s="70"/>
    </row>
    <row r="47" spans="1:14" ht="13" x14ac:dyDescent="0.25">
      <c r="A47" s="69">
        <v>44</v>
      </c>
      <c r="B47" s="73"/>
      <c r="C47" s="73"/>
      <c r="D47" s="73"/>
      <c r="E47" s="73"/>
      <c r="F47" s="74"/>
      <c r="G47" s="73"/>
      <c r="H47" s="67"/>
      <c r="I47" s="73"/>
      <c r="J47" s="73"/>
      <c r="K47" s="73"/>
      <c r="L47" s="74"/>
      <c r="M47" s="77"/>
      <c r="N47" s="70"/>
    </row>
    <row r="48" spans="1:14" ht="13" x14ac:dyDescent="0.25">
      <c r="A48" s="69">
        <v>45</v>
      </c>
      <c r="B48" s="73"/>
      <c r="C48" s="73"/>
      <c r="D48" s="73"/>
      <c r="E48" s="73"/>
      <c r="F48" s="74"/>
      <c r="G48" s="73"/>
      <c r="H48" s="67"/>
      <c r="I48" s="73"/>
      <c r="J48" s="73"/>
      <c r="K48" s="73"/>
      <c r="L48" s="74"/>
      <c r="M48" s="77"/>
      <c r="N48" s="70"/>
    </row>
    <row r="49" spans="1:14" ht="13" x14ac:dyDescent="0.25">
      <c r="A49" s="69">
        <v>46</v>
      </c>
      <c r="B49" s="73"/>
      <c r="C49" s="73"/>
      <c r="D49" s="73"/>
      <c r="E49" s="73"/>
      <c r="F49" s="74"/>
      <c r="G49" s="73"/>
      <c r="H49" s="67"/>
      <c r="I49" s="73"/>
      <c r="J49" s="73"/>
      <c r="K49" s="73"/>
      <c r="L49" s="74"/>
      <c r="M49" s="77"/>
      <c r="N49" s="70"/>
    </row>
    <row r="50" spans="1:14" ht="13" x14ac:dyDescent="0.25">
      <c r="A50" s="69">
        <v>47</v>
      </c>
      <c r="B50" s="73"/>
      <c r="C50" s="73"/>
      <c r="D50" s="73"/>
      <c r="E50" s="73"/>
      <c r="F50" s="74"/>
      <c r="G50" s="73"/>
      <c r="H50" s="67"/>
      <c r="I50" s="73"/>
      <c r="J50" s="73"/>
      <c r="K50" s="73"/>
      <c r="L50" s="74"/>
      <c r="M50" s="77"/>
      <c r="N50" s="70"/>
    </row>
    <row r="51" spans="1:14" ht="13" x14ac:dyDescent="0.25">
      <c r="A51" s="69">
        <v>48</v>
      </c>
      <c r="B51" s="73"/>
      <c r="C51" s="73"/>
      <c r="D51" s="73"/>
      <c r="E51" s="73"/>
      <c r="F51" s="74"/>
      <c r="G51" s="73"/>
      <c r="H51" s="67"/>
      <c r="I51" s="73"/>
      <c r="J51" s="73"/>
      <c r="K51" s="73"/>
      <c r="L51" s="74"/>
      <c r="M51" s="77"/>
      <c r="N51" s="70"/>
    </row>
    <row r="52" spans="1:14" ht="13" x14ac:dyDescent="0.25">
      <c r="A52" s="69">
        <v>49</v>
      </c>
      <c r="B52" s="73"/>
      <c r="C52" s="73"/>
      <c r="D52" s="73"/>
      <c r="E52" s="73"/>
      <c r="F52" s="74"/>
      <c r="G52" s="73"/>
      <c r="H52" s="67"/>
      <c r="I52" s="73"/>
      <c r="J52" s="73"/>
      <c r="K52" s="73"/>
      <c r="L52" s="74"/>
      <c r="M52" s="77"/>
      <c r="N52" s="70"/>
    </row>
    <row r="53" spans="1:14" ht="13" x14ac:dyDescent="0.25">
      <c r="A53" s="69">
        <v>50</v>
      </c>
      <c r="B53" s="73"/>
      <c r="C53" s="73"/>
      <c r="D53" s="73"/>
      <c r="E53" s="73"/>
      <c r="F53" s="74"/>
      <c r="G53" s="73"/>
      <c r="H53" s="67"/>
      <c r="I53" s="73"/>
      <c r="J53" s="73"/>
      <c r="K53" s="73"/>
      <c r="L53" s="74"/>
      <c r="M53" s="77"/>
      <c r="N53" s="70"/>
    </row>
    <row r="54" spans="1:14" ht="13" x14ac:dyDescent="0.25">
      <c r="A54" s="69">
        <v>51</v>
      </c>
      <c r="B54" s="73"/>
      <c r="C54" s="73"/>
      <c r="D54" s="73"/>
      <c r="E54" s="73"/>
      <c r="F54" s="74"/>
      <c r="G54" s="73"/>
      <c r="H54" s="67"/>
      <c r="I54" s="73"/>
      <c r="J54" s="73"/>
      <c r="K54" s="73"/>
      <c r="L54" s="74"/>
      <c r="M54" s="77"/>
      <c r="N54" s="70"/>
    </row>
    <row r="55" spans="1:14" ht="13" x14ac:dyDescent="0.25">
      <c r="A55" s="69">
        <v>52</v>
      </c>
      <c r="B55" s="73"/>
      <c r="C55" s="73"/>
      <c r="D55" s="73"/>
      <c r="E55" s="73"/>
      <c r="F55" s="74"/>
      <c r="G55" s="73"/>
      <c r="H55" s="67"/>
      <c r="I55" s="73"/>
      <c r="J55" s="73"/>
      <c r="K55" s="73"/>
      <c r="L55" s="74"/>
      <c r="M55" s="77"/>
      <c r="N55" s="70"/>
    </row>
    <row r="56" spans="1:14" ht="13" x14ac:dyDescent="0.25">
      <c r="A56" s="69">
        <v>53</v>
      </c>
      <c r="B56" s="73"/>
      <c r="C56" s="73"/>
      <c r="D56" s="73"/>
      <c r="E56" s="73"/>
      <c r="F56" s="74"/>
      <c r="G56" s="73"/>
      <c r="H56" s="67"/>
      <c r="I56" s="73"/>
      <c r="J56" s="73"/>
      <c r="K56" s="73"/>
      <c r="L56" s="74"/>
      <c r="M56" s="77"/>
      <c r="N56" s="70"/>
    </row>
    <row r="57" spans="1:14" ht="13" x14ac:dyDescent="0.25">
      <c r="A57" s="69">
        <v>54</v>
      </c>
      <c r="B57" s="73"/>
      <c r="C57" s="73"/>
      <c r="D57" s="73"/>
      <c r="E57" s="73"/>
      <c r="F57" s="74"/>
      <c r="G57" s="73"/>
      <c r="H57" s="67"/>
      <c r="I57" s="73"/>
      <c r="J57" s="73"/>
      <c r="K57" s="73"/>
      <c r="L57" s="74"/>
      <c r="M57" s="77"/>
      <c r="N57" s="70"/>
    </row>
    <row r="58" spans="1:14" ht="13" x14ac:dyDescent="0.25">
      <c r="A58" s="69">
        <v>55</v>
      </c>
      <c r="B58" s="73"/>
      <c r="C58" s="73"/>
      <c r="D58" s="73"/>
      <c r="E58" s="73"/>
      <c r="F58" s="74"/>
      <c r="G58" s="73"/>
      <c r="H58" s="67"/>
      <c r="I58" s="73"/>
      <c r="J58" s="73"/>
      <c r="K58" s="73"/>
      <c r="L58" s="74"/>
      <c r="M58" s="77"/>
      <c r="N58" s="70"/>
    </row>
    <row r="59" spans="1:14" ht="13" x14ac:dyDescent="0.25">
      <c r="A59" s="69">
        <v>56</v>
      </c>
      <c r="B59" s="73"/>
      <c r="C59" s="73"/>
      <c r="D59" s="73"/>
      <c r="E59" s="73"/>
      <c r="F59" s="74"/>
      <c r="G59" s="73"/>
      <c r="H59" s="67"/>
      <c r="I59" s="73"/>
      <c r="J59" s="73"/>
      <c r="K59" s="73"/>
      <c r="L59" s="74"/>
      <c r="M59" s="77"/>
      <c r="N59" s="70"/>
    </row>
    <row r="60" spans="1:14" ht="13" x14ac:dyDescent="0.25">
      <c r="A60" s="69">
        <v>57</v>
      </c>
      <c r="B60" s="76"/>
      <c r="C60" s="76"/>
      <c r="D60" s="73"/>
      <c r="E60" s="73"/>
      <c r="F60" s="74"/>
      <c r="G60" s="73"/>
      <c r="H60" s="67"/>
      <c r="I60" s="73"/>
      <c r="J60" s="73"/>
      <c r="K60" s="73"/>
      <c r="L60" s="74"/>
      <c r="M60" s="67"/>
      <c r="N60" s="70"/>
    </row>
    <row r="61" spans="1:14" ht="13" x14ac:dyDescent="0.25">
      <c r="A61" s="69">
        <v>58</v>
      </c>
      <c r="B61" s="76"/>
      <c r="C61" s="76"/>
      <c r="D61" s="73"/>
      <c r="E61" s="73"/>
      <c r="F61" s="74"/>
      <c r="G61" s="73"/>
      <c r="H61" s="67"/>
      <c r="I61" s="73"/>
      <c r="J61" s="73"/>
      <c r="K61" s="73"/>
      <c r="L61" s="74"/>
      <c r="M61" s="67"/>
      <c r="N61" s="70"/>
    </row>
    <row r="62" spans="1:14" ht="13" x14ac:dyDescent="0.25">
      <c r="A62" s="69">
        <v>59</v>
      </c>
      <c r="B62" s="76"/>
      <c r="C62" s="76"/>
      <c r="D62" s="73"/>
      <c r="E62" s="73"/>
      <c r="F62" s="74"/>
      <c r="G62" s="73"/>
      <c r="H62" s="67"/>
      <c r="I62" s="73"/>
      <c r="J62" s="73"/>
      <c r="K62" s="73"/>
      <c r="L62" s="74"/>
      <c r="M62" s="67"/>
      <c r="N62" s="70"/>
    </row>
    <row r="63" spans="1:14" ht="13" x14ac:dyDescent="0.25">
      <c r="A63" s="69">
        <v>60</v>
      </c>
      <c r="B63" s="76"/>
      <c r="C63" s="76"/>
      <c r="D63" s="73"/>
      <c r="E63" s="73"/>
      <c r="I63" s="73"/>
      <c r="J63" s="73"/>
      <c r="K63" s="73"/>
      <c r="L63" s="74"/>
      <c r="M63" s="67"/>
      <c r="N63" s="70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EHH701-42-374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EHH701-42</v>
      </c>
      <c r="C76" s="61" t="str">
        <f>INDEX($A$20:$I$63,$A76,3)</f>
        <v>374</v>
      </c>
      <c r="D76" s="17"/>
      <c r="E76" s="60">
        <f>INDEX($A$20:$I$63,$A76,9)</f>
        <v>514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99156084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EHH701-42 374/Cheetah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WIlma Sm Satchel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2" t="s">
        <v>35</v>
      </c>
      <c r="F1" s="72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2026-07-06T14:49:14Z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