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00" documentId="8_{0EBB2938-9D16-473B-B306-699D55C5D276}" xr6:coauthVersionLast="47" xr6:coauthVersionMax="47" xr10:uidLastSave="{549ADBA1-C4D5-48AC-90A1-149A0A8365EC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<sst xmlns="http://schemas.openxmlformats.org/spreadsheetml/2006/main" count="78" uniqueCount="57">
  <si>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</si>
  <si>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</si>
  <si>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</si>
  <si>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</si>
  <si>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</si>
  <si>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</si>
  <si>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</si>
  <si>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</si>
  <si>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</si>
  <si>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</si>
  <si>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</si>
  <si>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</si>
  <si>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</si>
  <si>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</si>
  <si>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</si>
  <si>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</si>
  <si>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</si>
  <si>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</si>
  <si>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</si>
  <si>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</si>
  <si>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</si>
  <si>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</si>
  <si>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</si>
  <si>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</si>
  <si>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</si>
  <si>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</si>
  <si>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</si>
  <si>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</si>
  <si>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</si>
  <si>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</si>
  <si>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</si>
  <si>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</si>
  <si>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</si>
  <si>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</si>
  <si>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</si>
  <si>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</si>
  <si>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</si>
  <si>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</si>
  <si>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</si>
  <si>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</si>
  <si>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</si>
  <si>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</si>
  <si>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</si>
  <si>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</si>
  <si>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</si>
  <si>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</si>
  <si>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No Color</t>
  </si>
  <si>
    <t>172</t>
  </si>
  <si>
    <t>WOMENS PLANTAR FASCIITIS</t>
  </si>
  <si>
    <t>PL0438AS</t>
  </si>
  <si>
    <t>PL1646AS</t>
  </si>
  <si>
    <t>990</t>
  </si>
  <si>
    <t>1882945</t>
  </si>
  <si>
    <t>1882946</t>
  </si>
  <si>
    <t>1882949</t>
  </si>
  <si>
    <t>1882968</t>
  </si>
  <si>
    <t>WMNS GEL ORTHOTICS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</si>
</sst>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0" borderId="11" xfId="0" applyFont="1" applyBorder="1"/>
    <xf numFmtId="0" fontId="33" fillId="11" borderId="11" xfId="1" applyFont="1" applyFill="1" applyBorder="1" applyAlignment="1">
      <alignment vertical="center" wrapText="1"/>
    </xf>
    <xf numFmtId="0" fontId="31" fillId="6" borderId="11" xfId="0" quotePrefix="1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11" borderId="11" xfId="1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G32" sqref="G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5.1796875" customWidth="1"/>
    <col min="5" max="5" width="19.26953125" customWidth="1"/>
    <col min="6" max="6" width="15.453125" customWidth="1"/>
    <col min="7" max="7" width="43.8164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8" t="s">
        <v>32</v>
      </c>
      <c r="F2" s="89"/>
      <c r="G2" s="90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1" t="s">
        <v>33</v>
      </c>
      <c r="D7" s="92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8" x14ac:dyDescent="0.4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9" t="s">
        <v>18</v>
      </c>
      <c r="H19" s="79" t="s">
        <v>34</v>
      </c>
      <c r="I19" s="80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69">
        <v>1</v>
      </c>
      <c r="B20" s="81" t="s">
        <v>49</v>
      </c>
      <c r="C20" s="81" t="s">
        <v>47</v>
      </c>
      <c r="D20" s="81" t="str">
        <f t="shared" ref="D20" si="0">B20&amp;"-"&amp;C20</f>
        <v>PL0438AS-172</v>
      </c>
      <c r="E20" s="81" t="s">
        <v>49</v>
      </c>
      <c r="F20" s="81" t="s">
        <v>46</v>
      </c>
      <c r="G20" s="81" t="s">
        <v>56</v>
      </c>
      <c r="H20" s="81">
        <v>99680424</v>
      </c>
      <c r="I20" s="81">
        <v>2448</v>
      </c>
      <c r="J20" s="82">
        <v>1771896</v>
      </c>
      <c r="K20" s="82" t="s">
        <v>52</v>
      </c>
      <c r="L20" s="83"/>
      <c r="M20" s="84"/>
      <c r="N20" s="85"/>
    </row>
    <row r="21" spans="1:14" ht="18.5" x14ac:dyDescent="0.45">
      <c r="A21" s="69">
        <v>2</v>
      </c>
      <c r="B21" s="81" t="s">
        <v>49</v>
      </c>
      <c r="C21" s="81" t="s">
        <v>47</v>
      </c>
      <c r="D21" s="81" t="str">
        <f>B21&amp;"-"&amp;C21</f>
        <v>PL0438AS-172</v>
      </c>
      <c r="E21" s="81" t="s">
        <v>49</v>
      </c>
      <c r="F21" s="81" t="s">
        <v>46</v>
      </c>
      <c r="G21" s="81" t="s">
        <v>56</v>
      </c>
      <c r="H21" s="81">
        <v>99682147</v>
      </c>
      <c r="I21" s="81">
        <v>1152</v>
      </c>
      <c r="J21" s="82">
        <v>1771897</v>
      </c>
      <c r="K21" s="82" t="s">
        <v>53</v>
      </c>
      <c r="L21" s="83"/>
      <c r="M21" s="84"/>
      <c r="N21" s="85"/>
    </row>
    <row r="22" spans="1:14" ht="17.5" x14ac:dyDescent="0.35">
      <c r="A22" s="69">
        <v>19</v>
      </c>
      <c r="B22" s="81" t="s">
        <v>49</v>
      </c>
      <c r="C22" s="81" t="s">
        <v>47</v>
      </c>
      <c r="D22" s="81" t="str">
        <f>B22&amp;"-"&amp;C22</f>
        <v>PL0438AS-172</v>
      </c>
      <c r="E22" s="81" t="s">
        <v>49</v>
      </c>
      <c r="F22" s="81" t="s">
        <v>46</v>
      </c>
      <c r="G22" s="81" t="s">
        <v>56</v>
      </c>
      <c r="H22" s="81">
        <v>99682147</v>
      </c>
      <c r="I22" s="81">
        <v>360</v>
      </c>
      <c r="J22" s="81">
        <v>1771898</v>
      </c>
      <c r="K22" s="81" t="s">
        <v>54</v>
      </c>
      <c r="L22" s="74"/>
      <c r="M22" s="77"/>
      <c r="N22" s="70"/>
    </row>
    <row r="23" spans="1:14" ht="17.5" x14ac:dyDescent="0.35">
      <c r="A23" s="69">
        <v>20</v>
      </c>
      <c r="B23" s="81" t="s">
        <v>50</v>
      </c>
      <c r="C23" s="81" t="s">
        <v>51</v>
      </c>
      <c r="D23" s="81" t="str">
        <f>B23&amp;"-"&amp;C23</f>
        <v>PL1646AS-990</v>
      </c>
      <c r="E23" s="81" t="s">
        <v>50</v>
      </c>
      <c r="F23" s="81" t="s">
        <v>46</v>
      </c>
      <c r="G23" s="81" t="s">
        <v>48</v>
      </c>
      <c r="H23" s="81">
        <v>99681245</v>
      </c>
      <c r="I23" s="81">
        <v>1152</v>
      </c>
      <c r="J23" s="81">
        <v>1771899</v>
      </c>
      <c r="K23" s="81" t="s">
        <v>55</v>
      </c>
      <c r="L23" s="74"/>
      <c r="M23" s="77"/>
      <c r="N23" s="70"/>
    </row>
    <row r="24" spans="1:14" ht="17.5" x14ac:dyDescent="0.35">
      <c r="A24" s="69">
        <v>21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74"/>
      <c r="M24" s="77"/>
      <c r="N24" s="70"/>
    </row>
    <row r="25" spans="1:14" ht="17.5" x14ac:dyDescent="0.35">
      <c r="A25" s="69">
        <v>22</v>
      </c>
      <c r="B25" s="81"/>
      <c r="C25" s="81"/>
      <c r="D25" s="81"/>
      <c r="E25" s="81"/>
      <c r="F25" s="87"/>
      <c r="G25" s="81"/>
      <c r="H25" s="86"/>
      <c r="I25" s="81"/>
      <c r="J25" s="81"/>
      <c r="K25" s="81"/>
      <c r="L25" s="74"/>
      <c r="M25" s="77"/>
      <c r="N25" s="70"/>
    </row>
    <row r="26" spans="1:14" ht="17.5" x14ac:dyDescent="0.35">
      <c r="A26" s="69">
        <v>23</v>
      </c>
      <c r="B26" s="81"/>
      <c r="C26" s="81"/>
      <c r="D26" s="81"/>
      <c r="E26" s="81"/>
      <c r="F26" s="81"/>
      <c r="G26" s="81"/>
      <c r="H26" s="86"/>
      <c r="I26" s="81"/>
      <c r="J26" s="81"/>
      <c r="K26" s="81"/>
      <c r="L26" s="74"/>
      <c r="M26" s="77"/>
      <c r="N26" s="70"/>
    </row>
    <row r="27" spans="1:14" ht="17.5" x14ac:dyDescent="0.35">
      <c r="A27" s="69">
        <v>24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74"/>
      <c r="M27" s="77"/>
      <c r="N27" s="70"/>
    </row>
    <row r="28" spans="1:14" ht="13" x14ac:dyDescent="0.25">
      <c r="A28" s="69">
        <v>25</v>
      </c>
      <c r="B28" s="73"/>
      <c r="C28" s="73"/>
      <c r="D28" s="73"/>
      <c r="E28" s="73"/>
      <c r="F28" s="74"/>
      <c r="G28" s="73"/>
      <c r="H28" s="67"/>
      <c r="I28" s="73"/>
      <c r="J28" s="73"/>
      <c r="K28" s="73"/>
      <c r="L28" s="74"/>
      <c r="M28" s="77"/>
      <c r="N28" s="70"/>
    </row>
    <row r="29" spans="1:14" ht="13" x14ac:dyDescent="0.25">
      <c r="A29" s="69">
        <v>26</v>
      </c>
      <c r="B29" s="73"/>
      <c r="C29" s="73"/>
      <c r="D29" s="73"/>
      <c r="E29" s="73"/>
      <c r="F29" s="74"/>
      <c r="G29" s="73"/>
      <c r="H29" s="67"/>
      <c r="I29" s="73"/>
      <c r="J29" s="73"/>
      <c r="K29" s="73"/>
      <c r="L29" s="74"/>
      <c r="M29" s="77"/>
      <c r="N29" s="70"/>
    </row>
    <row r="30" spans="1:14" ht="13" x14ac:dyDescent="0.25">
      <c r="A30" s="69">
        <v>27</v>
      </c>
      <c r="B30" s="73"/>
      <c r="C30" s="73"/>
      <c r="D30" s="73"/>
      <c r="E30" s="73"/>
      <c r="F30" s="74"/>
      <c r="G30" s="73"/>
      <c r="H30" s="67"/>
      <c r="I30" s="73"/>
      <c r="J30" s="73"/>
      <c r="K30" s="73"/>
      <c r="L30" s="74"/>
      <c r="M30" s="77"/>
      <c r="N30" s="70"/>
    </row>
    <row r="31" spans="1:14" ht="13" x14ac:dyDescent="0.25">
      <c r="A31" s="69">
        <v>28</v>
      </c>
      <c r="B31" s="73"/>
      <c r="C31" s="73"/>
      <c r="D31" s="73"/>
      <c r="E31" s="73"/>
      <c r="F31" s="74"/>
      <c r="G31" s="73"/>
      <c r="H31" s="67"/>
      <c r="I31" s="73"/>
      <c r="J31" s="73"/>
      <c r="K31" s="73"/>
      <c r="L31" s="74"/>
      <c r="M31" s="77"/>
      <c r="N31" s="70"/>
    </row>
    <row r="32" spans="1:14" ht="13" x14ac:dyDescent="0.25">
      <c r="A32" s="69">
        <v>29</v>
      </c>
      <c r="B32" s="73"/>
      <c r="C32" s="73"/>
      <c r="D32" s="74"/>
      <c r="E32" s="74"/>
      <c r="F32" s="77"/>
      <c r="G32" s="77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30</v>
      </c>
      <c r="B33" s="73"/>
      <c r="C33" s="73"/>
      <c r="D33" s="74"/>
      <c r="E33" s="74"/>
      <c r="F33" s="77"/>
      <c r="G33" s="77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31</v>
      </c>
      <c r="B34" s="73"/>
      <c r="C34" s="73"/>
      <c r="D34" s="74"/>
      <c r="E34" s="74"/>
      <c r="F34" s="77"/>
      <c r="G34" s="77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32</v>
      </c>
      <c r="B35" s="73"/>
      <c r="C35" s="73"/>
      <c r="D35" s="74"/>
      <c r="E35" s="74"/>
      <c r="F35" s="77"/>
      <c r="G35" s="77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33</v>
      </c>
      <c r="B36" s="73"/>
      <c r="C36" s="73"/>
      <c r="D36" s="73"/>
      <c r="E36" s="73"/>
      <c r="F36" s="77"/>
      <c r="G36" s="77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34</v>
      </c>
      <c r="B37" s="73"/>
      <c r="C37" s="73"/>
      <c r="D37" s="73"/>
      <c r="E37" s="73"/>
      <c r="F37" s="77"/>
      <c r="G37" s="75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35</v>
      </c>
      <c r="B38" s="73"/>
      <c r="C38" s="73"/>
      <c r="D38" s="73"/>
      <c r="E38" s="73"/>
      <c r="F38" s="77"/>
      <c r="G38" s="75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36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37</v>
      </c>
      <c r="B40" s="73"/>
      <c r="C40" s="73"/>
      <c r="D40" s="73"/>
      <c r="E40" s="73"/>
      <c r="F40" s="74"/>
      <c r="G40" s="73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38</v>
      </c>
      <c r="B41" s="73"/>
      <c r="C41" s="73"/>
      <c r="D41" s="73"/>
      <c r="E41" s="73"/>
      <c r="F41" s="74"/>
      <c r="G41" s="73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39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40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41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42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43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44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45</v>
      </c>
      <c r="B48" s="73"/>
      <c r="C48" s="73"/>
      <c r="D48" s="73"/>
      <c r="E48" s="73"/>
      <c r="F48" s="74"/>
      <c r="G48" s="73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46</v>
      </c>
      <c r="B49" s="73"/>
      <c r="C49" s="73"/>
      <c r="D49" s="73"/>
      <c r="E49" s="73"/>
      <c r="F49" s="74"/>
      <c r="G49" s="73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47</v>
      </c>
      <c r="B50" s="73"/>
      <c r="C50" s="73"/>
      <c r="D50" s="73"/>
      <c r="E50" s="73"/>
      <c r="F50" s="74"/>
      <c r="G50" s="73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48</v>
      </c>
      <c r="B51" s="73"/>
      <c r="C51" s="73"/>
      <c r="D51" s="73"/>
      <c r="E51" s="73"/>
      <c r="F51" s="74"/>
      <c r="G51" s="73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49</v>
      </c>
      <c r="B52" s="73"/>
      <c r="C52" s="73"/>
      <c r="D52" s="73"/>
      <c r="E52" s="73"/>
      <c r="F52" s="74"/>
      <c r="G52" s="73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50</v>
      </c>
      <c r="B53" s="73"/>
      <c r="C53" s="73"/>
      <c r="D53" s="73"/>
      <c r="E53" s="73"/>
      <c r="F53" s="74"/>
      <c r="G53" s="73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51</v>
      </c>
      <c r="B54" s="73"/>
      <c r="C54" s="73"/>
      <c r="D54" s="73"/>
      <c r="E54" s="73"/>
      <c r="F54" s="74"/>
      <c r="G54" s="73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52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53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54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55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56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57</v>
      </c>
      <c r="B60" s="76"/>
      <c r="C60" s="76"/>
      <c r="D60" s="73"/>
      <c r="E60" s="73"/>
      <c r="F60" s="74"/>
      <c r="G60" s="73"/>
      <c r="H60" s="67"/>
      <c r="I60" s="73"/>
      <c r="J60" s="73"/>
      <c r="K60" s="73"/>
      <c r="L60" s="74"/>
      <c r="M60" s="67"/>
      <c r="N60" s="70"/>
    </row>
    <row r="61" spans="1:14" ht="13" x14ac:dyDescent="0.25">
      <c r="A61" s="69">
        <v>58</v>
      </c>
      <c r="B61" s="76"/>
      <c r="C61" s="76"/>
      <c r="D61" s="73"/>
      <c r="E61" s="73"/>
      <c r="F61" s="74"/>
      <c r="G61" s="73"/>
      <c r="H61" s="67"/>
      <c r="I61" s="73"/>
      <c r="J61" s="73"/>
      <c r="K61" s="73"/>
      <c r="L61" s="74"/>
      <c r="M61" s="67"/>
      <c r="N61" s="70"/>
    </row>
    <row r="62" spans="1:14" ht="13" x14ac:dyDescent="0.25">
      <c r="A62" s="69">
        <v>59</v>
      </c>
      <c r="B62" s="76"/>
      <c r="C62" s="76"/>
      <c r="D62" s="73"/>
      <c r="E62" s="73"/>
      <c r="F62" s="74"/>
      <c r="G62" s="73"/>
      <c r="H62" s="67"/>
      <c r="I62" s="73"/>
      <c r="J62" s="73"/>
      <c r="K62" s="73"/>
      <c r="L62" s="74"/>
      <c r="M62" s="67"/>
      <c r="N62" s="70"/>
    </row>
    <row r="63" spans="1:14" ht="13" x14ac:dyDescent="0.25">
      <c r="A63" s="69">
        <v>60</v>
      </c>
      <c r="B63" s="76"/>
      <c r="C63" s="76"/>
      <c r="D63" s="73"/>
      <c r="E63" s="73"/>
      <c r="I63" s="73"/>
      <c r="J63" s="73"/>
      <c r="K63" s="73"/>
      <c r="L63" s="74"/>
      <c r="M63" s="67"/>
      <c r="N63" s="70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PL0438AS-172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PL0438AS</v>
      </c>
      <c r="C76" s="61" t="str">
        <f>INDEX($A$20:$I$63,$A76,3)</f>
        <v>172</v>
      </c>
      <c r="D76" s="17"/>
      <c r="E76" s="60">
        <f>INDEX($A$20:$I$63,$A76,9)</f>
        <v>2448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99680424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PL0438AS/No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WMNS GEL ORTHOTICS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2026-07-02T15:54:02Z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