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Bealls Outlet/PT/"/>
    </mc:Choice>
  </mc:AlternateContent>
  <xr:revisionPtr revIDLastSave="172" documentId="8_{0EBB2938-9D16-473B-B306-699D55C5D276}" xr6:coauthVersionLast="47" xr6:coauthVersionMax="47" xr10:uidLastSave="{EDC52D06-FFAB-40C8-AF35-A97DFF5DF323}"/>
  <bookViews>
    <workbookView xWindow="28680" yWindow="-12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33" i="1" s="1"/>
  <c r="D21" i="1"/>
  <c r="C43" i="1"/>
  <c r="B34" i="1"/>
  <c r="C34" i="1"/>
  <c r="E34" i="1"/>
  <c r="B40" i="1"/>
  <c r="B41" i="1"/>
  <c r="B42" i="1"/>
  <c r="C44" i="1"/>
  <c r="A25" i="1"/>
</calcChain>
</file>

<file path=xl/sharedStrings.xml><?xml version="1.0" encoding="utf-8"?>
<sst xmlns="http://schemas.openxmlformats.org/spreadsheetml/2006/main" count="62" uniqueCount="50">
  <si>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</si>
  <si>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</si>
  <si>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</si>
  <si>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</si>
  <si>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</si>
  <si>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</si>
  <si>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</si>
  <si>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</si>
  <si>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</si>
  <si>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</si>
  <si>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</si>
  <si>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</si>
  <si>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</si>
  <si>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</si>
  <si>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</si>
  <si>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</si>
  <si>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</si>
  <si>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</si>
  <si>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</si>
  <si>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</si>
  <si>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</si>
  <si>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</si>
  <si>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</si>
  <si>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</si>
  <si>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</si>
  <si>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</si>
  <si>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</si>
  <si>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</si>
  <si>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</si>
  <si>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</si>
  <si>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</si>
  <si>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</si>
  <si>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</si>
  <si>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</si>
  <si>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</si>
  <si>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</si>
  <si>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</si>
  <si>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</si>
  <si>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</si>
  <si>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</si>
  <si>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</si>
  <si>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</si>
  <si>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</si>
  <si>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</si>
  <si>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</si>
  <si>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</si>
  <si>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EHW529-42</t>
  </si>
  <si>
    <t>Kisslock with a Chain</t>
  </si>
  <si>
    <t>Pink</t>
  </si>
  <si>
    <t>EHW529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</si>
</sst>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0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8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0" borderId="5" xfId="0" applyBorder="1"/>
    <xf numFmtId="0" fontId="17" fillId="7" borderId="18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1" fillId="0" borderId="11" xfId="0" applyFont="1" applyBorder="1"/>
    <xf numFmtId="0" fontId="27" fillId="10" borderId="11" xfId="1" applyFill="1" applyBorder="1" applyAlignment="1">
      <alignment vertical="center" wrapText="1"/>
    </xf>
    <xf numFmtId="0" fontId="29" fillId="0" borderId="11" xfId="0" applyFont="1" applyBorder="1" applyAlignment="1">
      <alignment horizontal="center"/>
    </xf>
    <xf numFmtId="0" fontId="17" fillId="7" borderId="11" xfId="0" applyFont="1" applyFill="1" applyBorder="1" applyAlignment="1">
      <alignment horizontal="center"/>
    </xf>
    <xf numFmtId="0" fontId="23" fillId="9" borderId="12" xfId="0" applyFont="1" applyFill="1" applyBorder="1" applyAlignment="1">
      <alignment horizontal="center"/>
    </xf>
    <xf numFmtId="0" fontId="23" fillId="9" borderId="15" xfId="0" applyFont="1" applyFill="1" applyBorder="1" applyAlignment="1">
      <alignment horizontal="center"/>
    </xf>
    <xf numFmtId="0" fontId="23" fillId="9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21</xdr:row>
      <xdr:rowOff>0</xdr:rowOff>
    </xdr:from>
    <xdr:to>
      <xdr:col>0</xdr:col>
      <xdr:colOff>0</xdr:colOff>
      <xdr:row>28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21</xdr:row>
      <xdr:rowOff>0</xdr:rowOff>
    </xdr:from>
    <xdr:to>
      <xdr:col>0</xdr:col>
      <xdr:colOff>0</xdr:colOff>
      <xdr:row>28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21</xdr:row>
      <xdr:rowOff>0</xdr:rowOff>
    </xdr:from>
    <xdr:to>
      <xdr:col>0</xdr:col>
      <xdr:colOff>0</xdr:colOff>
      <xdr:row>26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30</xdr:row>
      <xdr:rowOff>0</xdr:rowOff>
    </xdr:from>
    <xdr:to>
      <xdr:col>0</xdr:col>
      <xdr:colOff>0</xdr:colOff>
      <xdr:row>30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28</xdr:row>
      <xdr:rowOff>123825</xdr:rowOff>
    </xdr:from>
    <xdr:to>
      <xdr:col>0</xdr:col>
      <xdr:colOff>1000125</xdr:colOff>
      <xdr:row>31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6350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825500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825500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673100</xdr:colOff>
          <xdr:row>11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8"/>
  <sheetViews>
    <sheetView tabSelected="1" zoomScaleNormal="100" workbookViewId="0">
      <selection activeCell="H2" sqref="H2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24.54296875" bestFit="1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76" t="s">
        <v>32</v>
      </c>
      <c r="F2" s="77"/>
      <c r="G2" s="78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79" t="s">
        <v>33</v>
      </c>
      <c r="D7" s="80"/>
      <c r="E7" s="66" t="s">
        <v>42</v>
      </c>
      <c r="F7" s="70" t="s">
        <v>39</v>
      </c>
      <c r="G7" s="70"/>
      <c r="H7" s="70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7"/>
      <c r="B19" s="68" t="s">
        <v>14</v>
      </c>
      <c r="C19" s="68" t="s">
        <v>20</v>
      </c>
      <c r="D19" s="68" t="s">
        <v>15</v>
      </c>
      <c r="E19" s="68" t="s">
        <v>21</v>
      </c>
      <c r="F19" s="68" t="s">
        <v>17</v>
      </c>
      <c r="G19" s="68" t="s">
        <v>18</v>
      </c>
      <c r="H19" s="68" t="s">
        <v>34</v>
      </c>
      <c r="I19" s="68" t="s">
        <v>16</v>
      </c>
      <c r="J19" s="68" t="s">
        <v>35</v>
      </c>
      <c r="K19" s="68" t="s">
        <v>36</v>
      </c>
      <c r="L19" s="75" t="s">
        <v>40</v>
      </c>
      <c r="M19" s="75" t="s">
        <v>41</v>
      </c>
      <c r="N19" s="75" t="s">
        <v>22</v>
      </c>
    </row>
    <row r="20" spans="1:14" ht="14.5" x14ac:dyDescent="0.35">
      <c r="A20" s="69">
        <v>1</v>
      </c>
      <c r="B20" s="54" t="s">
        <v>46</v>
      </c>
      <c r="C20" s="54">
        <v>9</v>
      </c>
      <c r="D20" s="54" t="str">
        <f t="shared" ref="D20:D21" si="0">B20&amp;"-"&amp;C20</f>
        <v>EHW529-42-9</v>
      </c>
      <c r="E20" s="50" t="s">
        <v>49</v>
      </c>
      <c r="F20" s="50" t="s">
        <v>48</v>
      </c>
      <c r="G20" s="50" t="s">
        <v>47</v>
      </c>
      <c r="H20" s="50">
        <v>97894439</v>
      </c>
      <c r="I20" s="54">
        <v>420</v>
      </c>
      <c r="J20" s="74">
        <v>1758284</v>
      </c>
      <c r="K20" s="74">
        <v>1875818</v>
      </c>
      <c r="L20" s="72"/>
      <c r="M20" s="73"/>
      <c r="N20" s="50">
        <v>277</v>
      </c>
    </row>
    <row r="21" spans="1:14" ht="14.5" x14ac:dyDescent="0.35">
      <c r="A21" s="69">
        <v>2</v>
      </c>
      <c r="B21" s="50" t="s">
        <v>46</v>
      </c>
      <c r="C21" s="54">
        <v>9</v>
      </c>
      <c r="D21" s="54" t="str">
        <f t="shared" si="0"/>
        <v>EHW529-42-9</v>
      </c>
      <c r="E21" s="50" t="s">
        <v>49</v>
      </c>
      <c r="F21" s="50" t="s">
        <v>48</v>
      </c>
      <c r="G21" s="50" t="s">
        <v>47</v>
      </c>
      <c r="H21" s="50">
        <v>97894439</v>
      </c>
      <c r="I21" s="54">
        <v>180</v>
      </c>
      <c r="J21" s="74">
        <v>1758285</v>
      </c>
      <c r="K21" s="74">
        <v>1875819</v>
      </c>
      <c r="L21" s="72"/>
      <c r="M21" s="73"/>
      <c r="N21" s="50">
        <v>277</v>
      </c>
    </row>
    <row r="22" spans="1:14" ht="15.75" customHeight="1" x14ac:dyDescent="0.25">
      <c r="B22" s="3"/>
      <c r="C22" s="37"/>
    </row>
    <row r="23" spans="1:14" ht="20" x14ac:dyDescent="0.4">
      <c r="A23" s="7" t="s">
        <v>4</v>
      </c>
      <c r="B23" s="3"/>
      <c r="C23" s="37"/>
    </row>
    <row r="24" spans="1:14" ht="15.5" x14ac:dyDescent="0.35">
      <c r="A24" s="6"/>
      <c r="B24" s="4"/>
      <c r="C24" s="38"/>
    </row>
    <row r="25" spans="1:14" ht="23" x14ac:dyDescent="0.5">
      <c r="A25" s="5" t="str">
        <f>D4</f>
        <v>PT# SEE BELOW</v>
      </c>
    </row>
    <row r="26" spans="1:14" x14ac:dyDescent="0.25">
      <c r="D26" s="3"/>
      <c r="F26" s="3"/>
      <c r="G26" s="3"/>
    </row>
    <row r="27" spans="1:14" ht="23" x14ac:dyDescent="0.5">
      <c r="B27" s="47"/>
      <c r="C27" s="37"/>
      <c r="E27" s="3"/>
    </row>
    <row r="28" spans="1:14" ht="23" x14ac:dyDescent="0.5">
      <c r="A28" s="47" t="s">
        <v>24</v>
      </c>
    </row>
    <row r="30" spans="1:14" ht="13" thickBot="1" x14ac:dyDescent="0.3"/>
    <row r="31" spans="1:14" ht="13" thickBot="1" x14ac:dyDescent="0.3">
      <c r="D31" s="42"/>
    </row>
    <row r="32" spans="1:14" ht="13.5" thickBot="1" x14ac:dyDescent="0.35">
      <c r="B32" s="42"/>
      <c r="C32" s="58"/>
      <c r="D32" s="59" t="s">
        <v>9</v>
      </c>
      <c r="E32" s="22"/>
    </row>
    <row r="33" spans="1:5" ht="13" x14ac:dyDescent="0.3">
      <c r="A33" s="42"/>
      <c r="B33" s="59" t="s">
        <v>6</v>
      </c>
      <c r="C33" s="59" t="s">
        <v>7</v>
      </c>
      <c r="D33" s="62" t="str">
        <f>INDEX($A$20:$I$21,$A34,4)</f>
        <v>EHW529-42-9</v>
      </c>
      <c r="E33" s="57" t="s">
        <v>8</v>
      </c>
    </row>
    <row r="34" spans="1:5" ht="16" thickBot="1" x14ac:dyDescent="0.4">
      <c r="A34" s="49">
        <v>1</v>
      </c>
      <c r="B34" s="60" t="str">
        <f>INDEX($A$20:$I$21,$A34,2)</f>
        <v>EHW529-42</v>
      </c>
      <c r="C34" s="61">
        <f>INDEX($A$20:$I$21,$A34,3)</f>
        <v>9</v>
      </c>
      <c r="D34" s="17"/>
      <c r="E34" s="60">
        <f>INDEX($A$20:$I$21,$A34,9)</f>
        <v>420</v>
      </c>
    </row>
    <row r="35" spans="1:5" ht="15.5" x14ac:dyDescent="0.35">
      <c r="A35" s="18"/>
      <c r="B35" s="16"/>
      <c r="C35" s="39"/>
      <c r="D35" s="24"/>
      <c r="E35" s="20"/>
    </row>
    <row r="36" spans="1:5" ht="15.5" x14ac:dyDescent="0.35">
      <c r="A36" s="19"/>
      <c r="B36" s="23" t="s">
        <v>25</v>
      </c>
      <c r="C36" s="29"/>
      <c r="D36" s="24"/>
      <c r="E36" s="9"/>
    </row>
    <row r="37" spans="1:5" ht="15.5" x14ac:dyDescent="0.35">
      <c r="A37" s="19"/>
      <c r="B37" s="23" t="s">
        <v>26</v>
      </c>
      <c r="C37" s="29"/>
      <c r="D37" s="25"/>
      <c r="E37" s="9"/>
    </row>
    <row r="38" spans="1:5" ht="15.5" x14ac:dyDescent="0.35">
      <c r="A38" s="19"/>
      <c r="B38" s="23" t="s">
        <v>27</v>
      </c>
      <c r="C38" s="29"/>
      <c r="D38" s="26"/>
      <c r="E38" s="9"/>
    </row>
    <row r="39" spans="1:5" ht="15.5" x14ac:dyDescent="0.35">
      <c r="A39" s="19"/>
      <c r="B39" s="23" t="s">
        <v>28</v>
      </c>
      <c r="C39" s="29"/>
      <c r="D39" s="28"/>
      <c r="E39" s="9"/>
    </row>
    <row r="40" spans="1:5" ht="15.5" x14ac:dyDescent="0.35">
      <c r="A40" s="19"/>
      <c r="B40" s="27" t="str">
        <f>$D$5</f>
        <v>PO#: SEE BELOW</v>
      </c>
      <c r="C40" s="40"/>
      <c r="D40" s="28"/>
      <c r="E40" s="9"/>
    </row>
    <row r="41" spans="1:5" ht="15.5" x14ac:dyDescent="0.35">
      <c r="A41" s="19"/>
      <c r="B41" s="44" t="str">
        <f>"SKU#: "&amp;INDEX($A$20:$I$21,A34,8)</f>
        <v>SKU#: 97894439</v>
      </c>
      <c r="D41" s="28"/>
      <c r="E41" s="9"/>
    </row>
    <row r="42" spans="1:5" ht="15.5" x14ac:dyDescent="0.35">
      <c r="A42" s="19"/>
      <c r="B42" s="46" t="e">
        <f>"DEPT#: "&amp;TEXT(#REF!,"000")</f>
        <v>#REF!</v>
      </c>
      <c r="C42" s="40"/>
      <c r="D42" s="28"/>
      <c r="E42" s="9"/>
    </row>
    <row r="43" spans="1:5" ht="15.5" x14ac:dyDescent="0.35">
      <c r="A43" s="19"/>
      <c r="B43" s="27" t="s">
        <v>11</v>
      </c>
      <c r="C43" s="29" t="str">
        <f>INDEX($A$20:$I$21,A34,5)&amp;"/"&amp;INDEX($A$20:$I$21,A34,6)</f>
        <v>EHW529/Pink</v>
      </c>
      <c r="D43" s="28"/>
      <c r="E43" s="9"/>
    </row>
    <row r="44" spans="1:5" ht="15.5" x14ac:dyDescent="0.35">
      <c r="A44" s="19"/>
      <c r="B44" s="27" t="s">
        <v>12</v>
      </c>
      <c r="C44" s="29" t="str">
        <f>INDEX($A$20:$H21,A34,7)</f>
        <v>Kisslock with a Chain</v>
      </c>
      <c r="D44" s="28"/>
      <c r="E44" s="9"/>
    </row>
    <row r="45" spans="1:5" ht="15.5" x14ac:dyDescent="0.35">
      <c r="A45" s="19"/>
      <c r="B45" s="27" t="s">
        <v>19</v>
      </c>
      <c r="C45" s="29"/>
      <c r="D45" s="28"/>
      <c r="E45" s="9"/>
    </row>
    <row r="46" spans="1:5" ht="16" thickBot="1" x14ac:dyDescent="0.4">
      <c r="A46" s="19"/>
      <c r="B46" s="27" t="s">
        <v>13</v>
      </c>
      <c r="C46" s="29"/>
      <c r="D46" s="11"/>
      <c r="E46" s="9"/>
    </row>
    <row r="47" spans="1:5" ht="13.5" thickBot="1" x14ac:dyDescent="0.35">
      <c r="A47" s="19"/>
      <c r="B47" s="10"/>
      <c r="C47" s="41"/>
      <c r="E47" s="12"/>
    </row>
    <row r="48" spans="1:5" ht="13" thickBot="1" x14ac:dyDescent="0.3">
      <c r="A48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1" t="s">
        <v>35</v>
      </c>
      <c r="F1" s="71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2022-01-24T15:57:23Z</cp:lastPrinted>
  <dcterms:created xsi:type="dcterms:W3CDTF">2008-06-06T20:54:57Z</dcterms:created>
  <dcterms:modified xsi:type="dcterms:W3CDTF">2026-05-14T15:30:11Z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