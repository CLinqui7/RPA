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4" documentId="8_{0EBB2938-9D16-473B-B306-699D55C5D276}" xr6:coauthVersionLast="47" xr6:coauthVersionMax="47" xr10:uidLastSave="{095CDD25-9F2F-4C2F-B871-8F2409A29926}"/>
  <bookViews>
    <workbookView xWindow="28680" yWindow="-601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8" i="1"/>
  <c r="D25" i="1"/>
  <c r="D24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<sst xmlns="http://schemas.openxmlformats.org/spreadsheetml/2006/main" count="110" uniqueCount="70">
  <si>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</si>
  <si>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</si>
  <si>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</si>
  <si>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</si>
  <si>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</si>
  <si>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</si>
  <si>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</si>
  <si>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</si>
  <si>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</si>
  <si>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</si>
  <si>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</si>
  <si>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</si>
  <si>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</si>
  <si>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</si>
  <si>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</si>
  <si>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</si>
  <si>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</si>
  <si>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</si>
  <si>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</si>
  <si>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</si>
  <si>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</si>
  <si>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</si>
  <si>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</si>
  <si>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</si>
  <si>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</si>
  <si>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</si>
  <si>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</si>
  <si>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</si>
  <si>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</si>
  <si>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</si>
  <si>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</si>
  <si>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</si>
  <si>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</si>
  <si>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</si>
  <si>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</si>
  <si>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</si>
  <si>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</si>
  <si>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</si>
  <si>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</si>
  <si>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</si>
  <si>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</si>
  <si>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</si>
  <si>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</si>
  <si>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</si>
  <si>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</si>
  <si>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</si>
  <si>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MN0039G-42-005</t>
  </si>
  <si>
    <t>MN0040-42-004</t>
  </si>
  <si>
    <t>03DUSK05K</t>
  </si>
  <si>
    <t>810</t>
  </si>
  <si>
    <t>03DUSK10B</t>
  </si>
  <si>
    <t>BKA</t>
  </si>
  <si>
    <t>03DUSK05T</t>
  </si>
  <si>
    <t>03DUSK10TB</t>
  </si>
  <si>
    <t>03DUSK05K-810</t>
  </si>
  <si>
    <t>03DUSK10B-BKA</t>
  </si>
  <si>
    <t>03DUSK05T-810</t>
  </si>
  <si>
    <t>03DUSK10TB-BKA</t>
  </si>
  <si>
    <t>1778416</t>
  </si>
  <si>
    <t>1778676</t>
  </si>
  <si>
    <t>1778719</t>
  </si>
  <si>
    <t>1779382</t>
  </si>
  <si>
    <t>1779384</t>
  </si>
  <si>
    <t>1779386</t>
  </si>
  <si>
    <t>1779592</t>
  </si>
  <si>
    <t>1779599</t>
  </si>
  <si>
    <t>1779649</t>
  </si>
  <si>
    <t xml:space="preserve">LIGHTED COURT SHOE </t>
  </si>
  <si>
    <t xml:space="preserve">CHEETAH </t>
  </si>
  <si>
    <t xml:space="preserve">Black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</si>
</sst>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J12" sqref="J1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48</v>
      </c>
      <c r="C20" s="54" t="s">
        <v>49</v>
      </c>
      <c r="D20" s="54" t="str">
        <f t="shared" ref="D20:D23" si="0">B20&amp;"-"&amp;C20</f>
        <v>03DUSK05K-810</v>
      </c>
      <c r="E20" s="54" t="s">
        <v>54</v>
      </c>
      <c r="F20" s="50" t="s">
        <v>68</v>
      </c>
      <c r="G20" s="50" t="s">
        <v>67</v>
      </c>
      <c r="H20" s="50"/>
      <c r="I20" s="54">
        <v>1464</v>
      </c>
      <c r="J20" s="78">
        <v>1760389</v>
      </c>
      <c r="K20" s="78" t="s">
        <v>58</v>
      </c>
      <c r="L20" s="74"/>
      <c r="M20" s="77"/>
      <c r="N20" s="70"/>
    </row>
    <row r="21" spans="1:14" ht="14.5" x14ac:dyDescent="0.35">
      <c r="A21" s="69">
        <v>2</v>
      </c>
      <c r="B21" s="54" t="s">
        <v>50</v>
      </c>
      <c r="C21" s="54" t="s">
        <v>51</v>
      </c>
      <c r="D21" s="54" t="str">
        <f t="shared" si="0"/>
        <v>03DUSK10B-BKA</v>
      </c>
      <c r="E21" s="54" t="s">
        <v>55</v>
      </c>
      <c r="F21" s="50" t="s">
        <v>69</v>
      </c>
      <c r="G21" s="50" t="s">
        <v>67</v>
      </c>
      <c r="H21" s="50"/>
      <c r="I21" s="54">
        <v>1080</v>
      </c>
      <c r="J21" s="78">
        <v>1760390</v>
      </c>
      <c r="K21" s="78" t="s">
        <v>59</v>
      </c>
      <c r="L21" s="74"/>
      <c r="M21" s="77"/>
      <c r="N21" s="70"/>
    </row>
    <row r="22" spans="1:14" ht="14.5" x14ac:dyDescent="0.35">
      <c r="A22" s="69">
        <v>3</v>
      </c>
      <c r="B22" s="54" t="s">
        <v>50</v>
      </c>
      <c r="C22" s="54" t="s">
        <v>51</v>
      </c>
      <c r="D22" s="54" t="str">
        <f t="shared" si="0"/>
        <v>03DUSK10B-BKA</v>
      </c>
      <c r="E22" s="54" t="s">
        <v>55</v>
      </c>
      <c r="F22" s="50" t="s">
        <v>69</v>
      </c>
      <c r="G22" s="50" t="s">
        <v>67</v>
      </c>
      <c r="H22" s="50"/>
      <c r="I22" s="54">
        <v>720</v>
      </c>
      <c r="J22" s="78">
        <v>1760391</v>
      </c>
      <c r="K22" s="78" t="s">
        <v>60</v>
      </c>
      <c r="L22" s="74"/>
      <c r="M22" s="77"/>
      <c r="N22" s="70"/>
    </row>
    <row r="23" spans="1:14" ht="14.5" x14ac:dyDescent="0.35">
      <c r="A23" s="69">
        <v>4</v>
      </c>
      <c r="B23" s="54" t="s">
        <v>50</v>
      </c>
      <c r="C23" s="54" t="s">
        <v>51</v>
      </c>
      <c r="D23" s="54" t="str">
        <f t="shared" si="0"/>
        <v>03DUSK10B-BKA</v>
      </c>
      <c r="E23" s="54" t="s">
        <v>55</v>
      </c>
      <c r="F23" s="50" t="s">
        <v>69</v>
      </c>
      <c r="G23" s="50" t="s">
        <v>67</v>
      </c>
      <c r="H23" s="50"/>
      <c r="I23" s="54">
        <v>1080</v>
      </c>
      <c r="J23" s="78">
        <v>1760392</v>
      </c>
      <c r="K23" s="78" t="s">
        <v>61</v>
      </c>
      <c r="L23" s="74"/>
      <c r="M23" s="77"/>
      <c r="N23" s="70"/>
    </row>
    <row r="24" spans="1:14" ht="14.5" x14ac:dyDescent="0.35">
      <c r="A24" s="69">
        <v>5</v>
      </c>
      <c r="B24" s="54" t="s">
        <v>50</v>
      </c>
      <c r="C24" s="54" t="s">
        <v>51</v>
      </c>
      <c r="D24" s="54" t="str">
        <f>B24&amp;"-"&amp;C24</f>
        <v>03DUSK10B-BKA</v>
      </c>
      <c r="E24" s="54" t="s">
        <v>55</v>
      </c>
      <c r="F24" s="50" t="s">
        <v>69</v>
      </c>
      <c r="G24" s="50" t="s">
        <v>67</v>
      </c>
      <c r="H24" s="50"/>
      <c r="I24" s="54">
        <v>720</v>
      </c>
      <c r="J24" s="78">
        <v>1760393</v>
      </c>
      <c r="K24" s="78" t="s">
        <v>62</v>
      </c>
      <c r="L24" s="74"/>
      <c r="M24" s="77"/>
      <c r="N24" s="70"/>
    </row>
    <row r="25" spans="1:14" ht="14.5" x14ac:dyDescent="0.35">
      <c r="A25" s="69">
        <v>6</v>
      </c>
      <c r="B25" s="54" t="s">
        <v>52</v>
      </c>
      <c r="C25" s="54" t="s">
        <v>49</v>
      </c>
      <c r="D25" s="54" t="str">
        <f>B25&amp;"-"&amp;C25</f>
        <v>03DUSK05T-810</v>
      </c>
      <c r="E25" s="54" t="s">
        <v>56</v>
      </c>
      <c r="F25" s="50" t="s">
        <v>68</v>
      </c>
      <c r="G25" s="50" t="s">
        <v>67</v>
      </c>
      <c r="H25" s="50"/>
      <c r="I25" s="54">
        <v>696</v>
      </c>
      <c r="J25" s="78">
        <v>1760394</v>
      </c>
      <c r="K25" s="78" t="s">
        <v>63</v>
      </c>
      <c r="L25" s="74"/>
      <c r="M25" s="77"/>
      <c r="N25" s="70"/>
    </row>
    <row r="26" spans="1:14" ht="14.5" x14ac:dyDescent="0.35">
      <c r="A26" s="69">
        <v>7</v>
      </c>
      <c r="B26" s="54" t="s">
        <v>52</v>
      </c>
      <c r="C26" s="54" t="s">
        <v>49</v>
      </c>
      <c r="D26" s="50" t="s">
        <v>46</v>
      </c>
      <c r="E26" s="54" t="s">
        <v>46</v>
      </c>
      <c r="F26" s="50" t="s">
        <v>68</v>
      </c>
      <c r="G26" s="50" t="s">
        <v>67</v>
      </c>
      <c r="H26" s="50"/>
      <c r="I26" s="54">
        <v>504</v>
      </c>
      <c r="J26" s="78">
        <v>1760395</v>
      </c>
      <c r="K26" s="78" t="s">
        <v>64</v>
      </c>
      <c r="L26" s="74"/>
      <c r="M26" s="77"/>
      <c r="N26" s="70"/>
    </row>
    <row r="27" spans="1:14" ht="14.5" x14ac:dyDescent="0.35">
      <c r="A27" s="69">
        <v>8</v>
      </c>
      <c r="B27" s="54" t="s">
        <v>53</v>
      </c>
      <c r="C27" s="54" t="s">
        <v>51</v>
      </c>
      <c r="D27" s="50" t="s">
        <v>47</v>
      </c>
      <c r="E27" s="54" t="s">
        <v>47</v>
      </c>
      <c r="F27" s="50" t="s">
        <v>69</v>
      </c>
      <c r="G27" s="50" t="s">
        <v>67</v>
      </c>
      <c r="H27" s="50"/>
      <c r="I27" s="54">
        <v>732</v>
      </c>
      <c r="J27" s="78">
        <v>1760396</v>
      </c>
      <c r="K27" s="78" t="s">
        <v>65</v>
      </c>
      <c r="L27" s="74"/>
      <c r="M27" s="77"/>
      <c r="N27" s="70"/>
    </row>
    <row r="28" spans="1:14" ht="14.5" x14ac:dyDescent="0.35">
      <c r="A28" s="69">
        <v>9</v>
      </c>
      <c r="B28" s="54" t="s">
        <v>53</v>
      </c>
      <c r="C28" s="54" t="s">
        <v>51</v>
      </c>
      <c r="D28" s="54" t="str">
        <f>B28&amp;"-"&amp;C28</f>
        <v>03DUSK10TB-BKA</v>
      </c>
      <c r="E28" s="54" t="s">
        <v>57</v>
      </c>
      <c r="F28" s="50" t="s">
        <v>69</v>
      </c>
      <c r="G28" s="50" t="s">
        <v>67</v>
      </c>
      <c r="H28" s="50"/>
      <c r="I28" s="54">
        <v>468</v>
      </c>
      <c r="J28" s="78">
        <v>1760397</v>
      </c>
      <c r="K28" s="78" t="s">
        <v>66</v>
      </c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03DUSK05K-810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03DUSK05K</v>
      </c>
      <c r="C92" s="61" t="str">
        <f>INDEX($A$20:$I$79,$A92,3)</f>
        <v>810</v>
      </c>
      <c r="D92" s="17"/>
      <c r="E92" s="60">
        <f>INDEX($A$20:$I$79,$A92,9)</f>
        <v>1464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 xml:space="preserve">03DUSK05K-810/CHEETAH 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 xml:space="preserve">LIGHTED COURT SHOE 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0:C28 K20:K28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2026-05-27T15:13:03Z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