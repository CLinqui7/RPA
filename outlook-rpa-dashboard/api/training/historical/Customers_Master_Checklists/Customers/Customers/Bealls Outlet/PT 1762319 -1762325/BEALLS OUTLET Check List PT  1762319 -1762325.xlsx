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258" documentId="8_{0EBB2938-9D16-473B-B306-699D55C5D276}" xr6:coauthVersionLast="47" xr6:coauthVersionMax="47" xr10:uidLastSave="{06AFCCE2-12F6-4AD7-A54F-E840388B07EB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5" i="1" l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<sst xmlns="http://schemas.openxmlformats.org/spreadsheetml/2006/main" count="201" uniqueCount="92">
  <si>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</si>
  <si>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</si>
  <si>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</si>
  <si>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</si>
  <si>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</si>
  <si>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</si>
  <si>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</si>
  <si>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</si>
  <si>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</si>
  <si>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</si>
  <si>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</si>
  <si>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</si>
  <si>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</si>
  <si>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</si>
  <si>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</si>
  <si>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</si>
  <si>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</si>
  <si>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</si>
  <si>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</si>
  <si>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</si>
  <si>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</si>
  <si>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</si>
  <si>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</si>
  <si>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</si>
  <si>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</si>
  <si>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</si>
  <si>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</si>
  <si>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</si>
  <si>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</si>
  <si>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</si>
  <si>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</si>
  <si>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</si>
  <si>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</si>
  <si>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</si>
  <si>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</si>
  <si>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</si>
  <si>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</si>
  <si>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</si>
  <si>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</si>
  <si>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</si>
  <si>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</si>
  <si>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</si>
  <si>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</si>
  <si>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</si>
  <si>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</si>
  <si>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</si>
  <si>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1857634</t>
  </si>
  <si>
    <t>1858723</t>
  </si>
  <si>
    <t>1858724</t>
  </si>
  <si>
    <t>1858725</t>
  </si>
  <si>
    <t>1858734</t>
  </si>
  <si>
    <t>1858735</t>
  </si>
  <si>
    <t>1858736</t>
  </si>
  <si>
    <t>PT0020EH-42</t>
  </si>
  <si>
    <t>PT0022EH-42</t>
  </si>
  <si>
    <t>PT0023EH-42</t>
  </si>
  <si>
    <t>PT0024EH-42</t>
  </si>
  <si>
    <t>PT0026EH-42</t>
  </si>
  <si>
    <t>PT0027EH-42</t>
  </si>
  <si>
    <t>PT0032EH-42</t>
  </si>
  <si>
    <t>PT0034EH-42</t>
  </si>
  <si>
    <t>PT0035EH-42</t>
  </si>
  <si>
    <t>PT0030EH-42</t>
  </si>
  <si>
    <t>PT0031EH-42</t>
  </si>
  <si>
    <t>032</t>
  </si>
  <si>
    <t>009</t>
  </si>
  <si>
    <t>003</t>
  </si>
  <si>
    <t>001</t>
  </si>
  <si>
    <t>Blue</t>
  </si>
  <si>
    <t>Pink</t>
  </si>
  <si>
    <t>Red</t>
  </si>
  <si>
    <t>PT0020EH-42-032</t>
  </si>
  <si>
    <t>PT0022EH-42-009</t>
  </si>
  <si>
    <t>PT0023EH-42-003</t>
  </si>
  <si>
    <t>PT0024EH-42-032</t>
  </si>
  <si>
    <t>PT0026EH-42-009</t>
  </si>
  <si>
    <t>PT0027EH-42-003</t>
  </si>
  <si>
    <t>EDH BLU USBCtoC 6FT braided nylon CBL</t>
  </si>
  <si>
    <t xml:space="preserve"> EDH PNK USBCtoC 6FT braided nylon CBL</t>
  </si>
  <si>
    <t>EDH RED USBCtoC 6FT braided nylon CBL</t>
  </si>
  <si>
    <t>Red BLACK</t>
  </si>
  <si>
    <t>White</t>
  </si>
  <si>
    <t>EDH REDBLK 20W dual port USB AC rapic wall Charg</t>
  </si>
  <si>
    <t>EDH PNK 20W dual port USB AC rapic wall Chargr</t>
  </si>
  <si>
    <t>EDH WHT 20W dual port USB AC rapic wall Chargr</t>
  </si>
  <si>
    <t>PT0032EH-42-003</t>
  </si>
  <si>
    <t>PT0034EH-42-009</t>
  </si>
  <si>
    <t>PT0035EH-42-001</t>
  </si>
  <si>
    <t>PT0030EH-42-009</t>
  </si>
  <si>
    <t>PT0031EH-42-032</t>
  </si>
  <si>
    <t>EDH PNK 6ft USBC Cbl 20W dual port wall Chrg Set</t>
  </si>
  <si>
    <t>EDH BLUE 6ft USBC Cbl 20W dual port wall Chrg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</si>
</sst>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3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10"/>
      <color rgb="FFFF0000"/>
      <name val="Arial"/>
      <family val="2"/>
    </font>
    <font>
      <sz val="14"/>
      <name val="Arial"/>
      <family val="2"/>
    </font>
    <font>
      <sz val="14"/>
      <color theme="1"/>
      <name val="Calibri"/>
      <family val="2"/>
    </font>
    <font>
      <u/>
      <sz val="14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17" fillId="7" borderId="11" xfId="0" applyFont="1" applyFill="1" applyBorder="1" applyAlignment="1">
      <alignment horizontal="center" vertical="center"/>
    </xf>
    <xf numFmtId="0" fontId="1" fillId="7" borderId="11" xfId="0" applyFont="1" applyFill="1" applyBorder="1"/>
    <xf numFmtId="0" fontId="27" fillId="7" borderId="11" xfId="1" applyFill="1" applyBorder="1" applyAlignment="1">
      <alignment vertical="center" wrapText="1"/>
    </xf>
    <xf numFmtId="0" fontId="1" fillId="7" borderId="11" xfId="0" quotePrefix="1" applyFont="1" applyFill="1" applyBorder="1" applyAlignment="1">
      <alignment horizontal="center" vertical="center"/>
    </xf>
    <xf numFmtId="0" fontId="0" fillId="7" borderId="0" xfId="0" applyFill="1"/>
    <xf numFmtId="0" fontId="30" fillId="0" borderId="11" xfId="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2" fillId="11" borderId="11" xfId="1" applyFont="1" applyFill="1" applyBorder="1" applyAlignment="1">
      <alignment horizontal="center" vertical="center" wrapText="1"/>
    </xf>
    <xf numFmtId="0" fontId="30" fillId="7" borderId="11" xfId="0" applyFont="1" applyFill="1" applyBorder="1" applyAlignment="1">
      <alignment horizontal="center"/>
    </xf>
    <xf numFmtId="0" fontId="32" fillId="7" borderId="11" xfId="1" applyFont="1" applyFill="1" applyBorder="1" applyAlignment="1">
      <alignment horizontal="center" vertical="center" wrapText="1"/>
    </xf>
    <xf numFmtId="0" fontId="30" fillId="7" borderId="11" xfId="0" applyFont="1" applyFill="1" applyBorder="1" applyAlignment="1">
      <alignment horizontal="center" vertical="center"/>
    </xf>
    <xf numFmtId="0" fontId="30" fillId="7" borderId="11" xfId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A6" zoomScale="91" zoomScaleNormal="91" workbookViewId="0">
      <selection activeCell="G27" sqref="G27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3.1796875" customWidth="1"/>
    <col min="5" max="5" width="19.26953125" customWidth="1"/>
    <col min="6" max="6" width="18.81640625" customWidth="1"/>
    <col min="7" max="7" width="68.54296875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79" t="s">
        <v>32</v>
      </c>
      <c r="F2" s="80"/>
      <c r="G2" s="81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2" t="s">
        <v>33</v>
      </c>
      <c r="D7" s="83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8" t="s">
        <v>14</v>
      </c>
      <c r="C19" s="78" t="s">
        <v>20</v>
      </c>
      <c r="D19" s="78" t="s">
        <v>15</v>
      </c>
      <c r="E19" s="78" t="s">
        <v>21</v>
      </c>
      <c r="F19" s="78" t="s">
        <v>17</v>
      </c>
      <c r="G19" s="78" t="s">
        <v>18</v>
      </c>
      <c r="H19" s="78" t="s">
        <v>34</v>
      </c>
      <c r="I19" s="69" t="s">
        <v>16</v>
      </c>
      <c r="J19" s="78" t="s">
        <v>35</v>
      </c>
      <c r="K19" s="78" t="s">
        <v>36</v>
      </c>
      <c r="L19" s="78" t="s">
        <v>40</v>
      </c>
      <c r="M19" s="78" t="s">
        <v>41</v>
      </c>
      <c r="N19" s="78" t="s">
        <v>22</v>
      </c>
    </row>
    <row r="20" spans="1:14" ht="18.5" x14ac:dyDescent="0.45">
      <c r="A20" s="70">
        <v>1</v>
      </c>
      <c r="B20" s="89" t="s">
        <v>53</v>
      </c>
      <c r="C20" s="89" t="s">
        <v>64</v>
      </c>
      <c r="D20" s="89" t="s">
        <v>71</v>
      </c>
      <c r="E20" s="89" t="s">
        <v>53</v>
      </c>
      <c r="F20" s="89" t="s">
        <v>68</v>
      </c>
      <c r="G20" s="89" t="s">
        <v>77</v>
      </c>
      <c r="H20" s="89">
        <v>99140146</v>
      </c>
      <c r="I20" s="89">
        <v>288</v>
      </c>
      <c r="J20" s="90">
        <v>1762319</v>
      </c>
      <c r="K20" s="90" t="s">
        <v>46</v>
      </c>
      <c r="L20" s="75"/>
      <c r="M20" s="77"/>
      <c r="N20" s="71"/>
    </row>
    <row r="21" spans="1:14" ht="18.5" x14ac:dyDescent="0.45">
      <c r="A21" s="70">
        <v>2</v>
      </c>
      <c r="B21" s="89" t="s">
        <v>54</v>
      </c>
      <c r="C21" s="89" t="s">
        <v>65</v>
      </c>
      <c r="D21" s="89" t="s">
        <v>72</v>
      </c>
      <c r="E21" s="89" t="s">
        <v>54</v>
      </c>
      <c r="F21" s="89" t="s">
        <v>69</v>
      </c>
      <c r="G21" s="89" t="s">
        <v>78</v>
      </c>
      <c r="H21" s="89">
        <v>99140133</v>
      </c>
      <c r="I21" s="89">
        <v>288</v>
      </c>
      <c r="J21" s="90">
        <v>1762319</v>
      </c>
      <c r="K21" s="90" t="s">
        <v>46</v>
      </c>
      <c r="L21" s="75"/>
      <c r="M21" s="77"/>
      <c r="N21" s="71"/>
    </row>
    <row r="22" spans="1:14" ht="17.5" x14ac:dyDescent="0.35">
      <c r="A22" s="70">
        <v>19</v>
      </c>
      <c r="B22" s="89" t="s">
        <v>55</v>
      </c>
      <c r="C22" s="89" t="s">
        <v>66</v>
      </c>
      <c r="D22" s="89" t="s">
        <v>73</v>
      </c>
      <c r="E22" s="89" t="s">
        <v>55</v>
      </c>
      <c r="F22" s="89" t="s">
        <v>70</v>
      </c>
      <c r="G22" s="89" t="s">
        <v>79</v>
      </c>
      <c r="H22" s="89">
        <v>99140121</v>
      </c>
      <c r="I22" s="89">
        <v>288</v>
      </c>
      <c r="J22" s="89">
        <v>1762319</v>
      </c>
      <c r="K22" s="89" t="s">
        <v>46</v>
      </c>
      <c r="L22" s="75"/>
      <c r="M22" s="77"/>
      <c r="N22" s="71"/>
    </row>
    <row r="23" spans="1:14" ht="17.5" x14ac:dyDescent="0.35">
      <c r="A23" s="70">
        <v>20</v>
      </c>
      <c r="B23" s="89" t="s">
        <v>56</v>
      </c>
      <c r="C23" s="89" t="s">
        <v>64</v>
      </c>
      <c r="D23" s="89" t="s">
        <v>74</v>
      </c>
      <c r="E23" s="89" t="s">
        <v>56</v>
      </c>
      <c r="F23" s="89" t="s">
        <v>68</v>
      </c>
      <c r="G23" s="89" t="s">
        <v>77</v>
      </c>
      <c r="H23" s="89">
        <v>99140119</v>
      </c>
      <c r="I23" s="89">
        <v>288</v>
      </c>
      <c r="J23" s="89">
        <v>1762319</v>
      </c>
      <c r="K23" s="89" t="s">
        <v>46</v>
      </c>
      <c r="L23" s="75"/>
      <c r="M23" s="77"/>
      <c r="N23" s="71"/>
    </row>
    <row r="24" spans="1:14" ht="17.5" x14ac:dyDescent="0.35">
      <c r="A24" s="70">
        <v>21</v>
      </c>
      <c r="B24" s="89" t="s">
        <v>57</v>
      </c>
      <c r="C24" s="89" t="s">
        <v>65</v>
      </c>
      <c r="D24" s="89" t="s">
        <v>75</v>
      </c>
      <c r="E24" s="89" t="s">
        <v>57</v>
      </c>
      <c r="F24" s="91" t="s">
        <v>69</v>
      </c>
      <c r="G24" s="89" t="s">
        <v>78</v>
      </c>
      <c r="H24" s="89">
        <v>99140106</v>
      </c>
      <c r="I24" s="89">
        <v>288</v>
      </c>
      <c r="J24" s="89">
        <v>1762319</v>
      </c>
      <c r="K24" s="89" t="s">
        <v>46</v>
      </c>
      <c r="L24" s="75"/>
      <c r="M24" s="77"/>
      <c r="N24" s="71"/>
    </row>
    <row r="25" spans="1:14" s="88" customFormat="1" ht="17.5" x14ac:dyDescent="0.35">
      <c r="A25" s="84">
        <v>22</v>
      </c>
      <c r="B25" s="92" t="s">
        <v>58</v>
      </c>
      <c r="C25" s="92" t="s">
        <v>66</v>
      </c>
      <c r="D25" s="92" t="s">
        <v>76</v>
      </c>
      <c r="E25" s="92" t="s">
        <v>58</v>
      </c>
      <c r="F25" s="93" t="s">
        <v>70</v>
      </c>
      <c r="G25" s="92" t="s">
        <v>79</v>
      </c>
      <c r="H25" s="92">
        <v>99140090</v>
      </c>
      <c r="I25" s="92">
        <v>288</v>
      </c>
      <c r="J25" s="92">
        <v>1762319</v>
      </c>
      <c r="K25" s="92" t="s">
        <v>46</v>
      </c>
      <c r="L25" s="85"/>
      <c r="M25" s="86"/>
      <c r="N25" s="87"/>
    </row>
    <row r="26" spans="1:14" s="88" customFormat="1" ht="17.5" x14ac:dyDescent="0.35">
      <c r="A26" s="84">
        <v>23</v>
      </c>
      <c r="B26" s="92" t="s">
        <v>59</v>
      </c>
      <c r="C26" s="92" t="s">
        <v>66</v>
      </c>
      <c r="D26" s="92" t="s">
        <v>85</v>
      </c>
      <c r="E26" s="92" t="s">
        <v>59</v>
      </c>
      <c r="F26" s="92" t="s">
        <v>80</v>
      </c>
      <c r="G26" s="92" t="s">
        <v>82</v>
      </c>
      <c r="H26" s="92">
        <v>99163077</v>
      </c>
      <c r="I26" s="92">
        <v>216</v>
      </c>
      <c r="J26" s="92">
        <v>1762320</v>
      </c>
      <c r="K26" s="92" t="s">
        <v>47</v>
      </c>
      <c r="L26" s="85"/>
      <c r="M26" s="86"/>
      <c r="N26" s="87"/>
    </row>
    <row r="27" spans="1:14" s="88" customFormat="1" ht="17.5" x14ac:dyDescent="0.35">
      <c r="A27" s="84">
        <v>24</v>
      </c>
      <c r="B27" s="92" t="s">
        <v>60</v>
      </c>
      <c r="C27" s="92" t="s">
        <v>65</v>
      </c>
      <c r="D27" s="92" t="s">
        <v>86</v>
      </c>
      <c r="E27" s="92" t="s">
        <v>60</v>
      </c>
      <c r="F27" s="92" t="s">
        <v>69</v>
      </c>
      <c r="G27" s="92" t="s">
        <v>83</v>
      </c>
      <c r="H27" s="92">
        <v>99163089</v>
      </c>
      <c r="I27" s="92">
        <v>240</v>
      </c>
      <c r="J27" s="92">
        <v>1762320</v>
      </c>
      <c r="K27" s="92" t="s">
        <v>47</v>
      </c>
      <c r="L27" s="85"/>
      <c r="M27" s="86"/>
      <c r="N27" s="87"/>
    </row>
    <row r="28" spans="1:14" s="88" customFormat="1" ht="17.5" x14ac:dyDescent="0.35">
      <c r="A28" s="84">
        <v>25</v>
      </c>
      <c r="B28" s="92" t="s">
        <v>61</v>
      </c>
      <c r="C28" s="92" t="s">
        <v>67</v>
      </c>
      <c r="D28" s="92" t="s">
        <v>87</v>
      </c>
      <c r="E28" s="92" t="s">
        <v>61</v>
      </c>
      <c r="F28" s="92" t="s">
        <v>81</v>
      </c>
      <c r="G28" s="92" t="s">
        <v>84</v>
      </c>
      <c r="H28" s="92">
        <v>99163064</v>
      </c>
      <c r="I28" s="92">
        <v>120</v>
      </c>
      <c r="J28" s="92">
        <v>1762320</v>
      </c>
      <c r="K28" s="92" t="s">
        <v>47</v>
      </c>
      <c r="L28" s="85"/>
      <c r="M28" s="86"/>
      <c r="N28" s="87"/>
    </row>
    <row r="29" spans="1:14" s="88" customFormat="1" ht="17.5" x14ac:dyDescent="0.35">
      <c r="A29" s="84">
        <v>26</v>
      </c>
      <c r="B29" s="92" t="s">
        <v>59</v>
      </c>
      <c r="C29" s="92" t="s">
        <v>66</v>
      </c>
      <c r="D29" s="92" t="s">
        <v>85</v>
      </c>
      <c r="E29" s="92" t="s">
        <v>59</v>
      </c>
      <c r="F29" s="92" t="s">
        <v>80</v>
      </c>
      <c r="G29" s="92" t="s">
        <v>82</v>
      </c>
      <c r="H29" s="94">
        <v>99163077</v>
      </c>
      <c r="I29" s="92">
        <v>24</v>
      </c>
      <c r="J29" s="92">
        <v>1762321</v>
      </c>
      <c r="K29" s="92" t="s">
        <v>48</v>
      </c>
      <c r="L29" s="85"/>
      <c r="M29" s="86"/>
      <c r="N29" s="87"/>
    </row>
    <row r="30" spans="1:14" s="88" customFormat="1" ht="17.5" x14ac:dyDescent="0.35">
      <c r="A30" s="84">
        <v>27</v>
      </c>
      <c r="B30" s="92" t="s">
        <v>60</v>
      </c>
      <c r="C30" s="92" t="s">
        <v>65</v>
      </c>
      <c r="D30" s="92" t="s">
        <v>86</v>
      </c>
      <c r="E30" s="92" t="s">
        <v>60</v>
      </c>
      <c r="F30" s="92" t="s">
        <v>69</v>
      </c>
      <c r="G30" s="92" t="s">
        <v>83</v>
      </c>
      <c r="H30" s="94">
        <v>99163089</v>
      </c>
      <c r="I30" s="92">
        <v>24</v>
      </c>
      <c r="J30" s="92">
        <v>1762321</v>
      </c>
      <c r="K30" s="92" t="s">
        <v>48</v>
      </c>
      <c r="L30" s="85"/>
      <c r="M30" s="86"/>
      <c r="N30" s="87"/>
    </row>
    <row r="31" spans="1:14" s="88" customFormat="1" ht="17.5" x14ac:dyDescent="0.35">
      <c r="A31" s="84">
        <v>28</v>
      </c>
      <c r="B31" s="92" t="s">
        <v>61</v>
      </c>
      <c r="C31" s="92" t="s">
        <v>67</v>
      </c>
      <c r="D31" s="92" t="s">
        <v>87</v>
      </c>
      <c r="E31" s="92" t="s">
        <v>61</v>
      </c>
      <c r="F31" s="92" t="s">
        <v>81</v>
      </c>
      <c r="G31" s="92" t="s">
        <v>84</v>
      </c>
      <c r="H31" s="94">
        <v>99163064</v>
      </c>
      <c r="I31" s="92">
        <v>24</v>
      </c>
      <c r="J31" s="92">
        <v>1762321</v>
      </c>
      <c r="K31" s="92" t="s">
        <v>48</v>
      </c>
      <c r="L31" s="85"/>
      <c r="M31" s="86"/>
      <c r="N31" s="87"/>
    </row>
    <row r="32" spans="1:14" s="88" customFormat="1" ht="35" x14ac:dyDescent="0.35">
      <c r="A32" s="84">
        <v>29</v>
      </c>
      <c r="B32" s="92" t="s">
        <v>59</v>
      </c>
      <c r="C32" s="92" t="s">
        <v>66</v>
      </c>
      <c r="D32" s="92" t="s">
        <v>85</v>
      </c>
      <c r="E32" s="92" t="s">
        <v>59</v>
      </c>
      <c r="F32" s="95" t="s">
        <v>80</v>
      </c>
      <c r="G32" s="95" t="s">
        <v>82</v>
      </c>
      <c r="H32" s="94">
        <v>99163077</v>
      </c>
      <c r="I32" s="92">
        <v>144</v>
      </c>
      <c r="J32" s="92">
        <v>1762322</v>
      </c>
      <c r="K32" s="92" t="s">
        <v>49</v>
      </c>
      <c r="L32" s="85"/>
      <c r="M32" s="86"/>
      <c r="N32" s="87"/>
    </row>
    <row r="33" spans="1:14" s="88" customFormat="1" ht="35" x14ac:dyDescent="0.35">
      <c r="A33" s="84">
        <v>30</v>
      </c>
      <c r="B33" s="92" t="s">
        <v>60</v>
      </c>
      <c r="C33" s="92" t="s">
        <v>65</v>
      </c>
      <c r="D33" s="92" t="s">
        <v>86</v>
      </c>
      <c r="E33" s="92" t="s">
        <v>60</v>
      </c>
      <c r="F33" s="95" t="s">
        <v>69</v>
      </c>
      <c r="G33" s="95" t="s">
        <v>83</v>
      </c>
      <c r="H33" s="94">
        <v>99163089</v>
      </c>
      <c r="I33" s="92">
        <v>144</v>
      </c>
      <c r="J33" s="92">
        <v>1762322</v>
      </c>
      <c r="K33" s="92" t="s">
        <v>49</v>
      </c>
      <c r="L33" s="85"/>
      <c r="M33" s="86"/>
      <c r="N33" s="87"/>
    </row>
    <row r="34" spans="1:14" s="88" customFormat="1" ht="35" x14ac:dyDescent="0.35">
      <c r="A34" s="84">
        <v>31</v>
      </c>
      <c r="B34" s="92" t="s">
        <v>61</v>
      </c>
      <c r="C34" s="92" t="s">
        <v>67</v>
      </c>
      <c r="D34" s="92" t="s">
        <v>87</v>
      </c>
      <c r="E34" s="92" t="s">
        <v>61</v>
      </c>
      <c r="F34" s="95" t="s">
        <v>81</v>
      </c>
      <c r="G34" s="95" t="s">
        <v>84</v>
      </c>
      <c r="H34" s="94">
        <v>99163064</v>
      </c>
      <c r="I34" s="92">
        <v>72</v>
      </c>
      <c r="J34" s="92">
        <v>1762322</v>
      </c>
      <c r="K34" s="92" t="s">
        <v>49</v>
      </c>
      <c r="L34" s="85"/>
      <c r="M34" s="86"/>
      <c r="N34" s="87"/>
    </row>
    <row r="35" spans="1:14" s="88" customFormat="1" ht="17.5" x14ac:dyDescent="0.35">
      <c r="A35" s="84">
        <v>32</v>
      </c>
      <c r="B35" s="92" t="s">
        <v>62</v>
      </c>
      <c r="C35" s="92" t="s">
        <v>65</v>
      </c>
      <c r="D35" s="92" t="s">
        <v>88</v>
      </c>
      <c r="E35" s="92" t="s">
        <v>62</v>
      </c>
      <c r="F35" s="93" t="s">
        <v>69</v>
      </c>
      <c r="G35" s="92" t="s">
        <v>90</v>
      </c>
      <c r="H35" s="92">
        <v>99163583</v>
      </c>
      <c r="I35" s="92">
        <v>144</v>
      </c>
      <c r="J35" s="92">
        <v>1762323</v>
      </c>
      <c r="K35" s="92" t="s">
        <v>50</v>
      </c>
      <c r="L35" s="85"/>
      <c r="M35" s="86"/>
      <c r="N35" s="87"/>
    </row>
    <row r="36" spans="1:14" s="88" customFormat="1" ht="17.5" x14ac:dyDescent="0.35">
      <c r="A36" s="84">
        <v>33</v>
      </c>
      <c r="B36" s="92" t="s">
        <v>63</v>
      </c>
      <c r="C36" s="92" t="s">
        <v>64</v>
      </c>
      <c r="D36" s="92" t="s">
        <v>89</v>
      </c>
      <c r="E36" s="92" t="s">
        <v>63</v>
      </c>
      <c r="F36" s="93" t="s">
        <v>68</v>
      </c>
      <c r="G36" s="92" t="s">
        <v>91</v>
      </c>
      <c r="H36" s="92">
        <v>99163571</v>
      </c>
      <c r="I36" s="92">
        <v>144</v>
      </c>
      <c r="J36" s="92">
        <v>1762323</v>
      </c>
      <c r="K36" s="92" t="s">
        <v>50</v>
      </c>
      <c r="L36" s="85"/>
      <c r="M36" s="86"/>
      <c r="N36" s="87"/>
    </row>
    <row r="37" spans="1:14" ht="17.5" x14ac:dyDescent="0.35">
      <c r="A37" s="70">
        <v>34</v>
      </c>
      <c r="B37" s="89" t="s">
        <v>62</v>
      </c>
      <c r="C37" s="89" t="s">
        <v>65</v>
      </c>
      <c r="D37" s="89" t="s">
        <v>88</v>
      </c>
      <c r="E37" s="89" t="s">
        <v>62</v>
      </c>
      <c r="F37" s="91" t="s">
        <v>69</v>
      </c>
      <c r="G37" s="89" t="s">
        <v>90</v>
      </c>
      <c r="H37" s="94">
        <v>99163583</v>
      </c>
      <c r="I37" s="89">
        <v>24</v>
      </c>
      <c r="J37" s="89">
        <v>1762324</v>
      </c>
      <c r="K37" s="89" t="s">
        <v>51</v>
      </c>
      <c r="L37" s="75"/>
      <c r="M37" s="77"/>
      <c r="N37" s="71"/>
    </row>
    <row r="38" spans="1:14" ht="17.5" x14ac:dyDescent="0.35">
      <c r="A38" s="70">
        <v>35</v>
      </c>
      <c r="B38" s="89" t="s">
        <v>63</v>
      </c>
      <c r="C38" s="89" t="s">
        <v>64</v>
      </c>
      <c r="D38" s="89" t="s">
        <v>89</v>
      </c>
      <c r="E38" s="89" t="s">
        <v>63</v>
      </c>
      <c r="F38" s="91" t="s">
        <v>68</v>
      </c>
      <c r="G38" s="89" t="s">
        <v>91</v>
      </c>
      <c r="H38" s="94">
        <v>99163571</v>
      </c>
      <c r="I38" s="89">
        <v>24</v>
      </c>
      <c r="J38" s="89">
        <v>1762324</v>
      </c>
      <c r="K38" s="89" t="s">
        <v>51</v>
      </c>
      <c r="L38" s="75"/>
      <c r="M38" s="77"/>
      <c r="N38" s="71"/>
    </row>
    <row r="39" spans="1:14" ht="17.5" x14ac:dyDescent="0.35">
      <c r="A39" s="70">
        <v>36</v>
      </c>
      <c r="B39" s="89" t="s">
        <v>62</v>
      </c>
      <c r="C39" s="89" t="s">
        <v>65</v>
      </c>
      <c r="D39" s="89" t="s">
        <v>88</v>
      </c>
      <c r="E39" s="89" t="s">
        <v>62</v>
      </c>
      <c r="F39" s="89" t="s">
        <v>69</v>
      </c>
      <c r="G39" s="89" t="s">
        <v>90</v>
      </c>
      <c r="H39" s="94">
        <v>99163583</v>
      </c>
      <c r="I39" s="89">
        <v>240</v>
      </c>
      <c r="J39" s="89">
        <v>1762325</v>
      </c>
      <c r="K39" s="89" t="s">
        <v>52</v>
      </c>
      <c r="L39" s="75"/>
      <c r="M39" s="77"/>
      <c r="N39" s="71"/>
    </row>
    <row r="40" spans="1:14" ht="17.5" x14ac:dyDescent="0.35">
      <c r="A40" s="70">
        <v>37</v>
      </c>
      <c r="B40" s="89" t="s">
        <v>63</v>
      </c>
      <c r="C40" s="89" t="s">
        <v>64</v>
      </c>
      <c r="D40" s="89" t="s">
        <v>89</v>
      </c>
      <c r="E40" s="89" t="s">
        <v>63</v>
      </c>
      <c r="F40" s="89" t="s">
        <v>68</v>
      </c>
      <c r="G40" s="89" t="s">
        <v>91</v>
      </c>
      <c r="H40" s="94">
        <v>99163571</v>
      </c>
      <c r="I40" s="89">
        <v>240</v>
      </c>
      <c r="J40" s="89">
        <v>1762325</v>
      </c>
      <c r="K40" s="89" t="s">
        <v>52</v>
      </c>
      <c r="L40" s="75"/>
      <c r="M40" s="77"/>
      <c r="N40" s="71"/>
    </row>
    <row r="41" spans="1:14" ht="13" x14ac:dyDescent="0.25">
      <c r="A41" s="70">
        <v>38</v>
      </c>
      <c r="B41" s="74"/>
      <c r="C41" s="74"/>
      <c r="D41" s="74"/>
      <c r="E41" s="74"/>
      <c r="F41" s="75"/>
      <c r="G41" s="74"/>
      <c r="H41" s="67"/>
      <c r="I41" s="74"/>
      <c r="J41" s="74"/>
      <c r="K41" s="74"/>
      <c r="L41" s="75"/>
      <c r="M41" s="77"/>
      <c r="N41" s="71"/>
    </row>
    <row r="42" spans="1:14" ht="13" x14ac:dyDescent="0.25">
      <c r="A42" s="70">
        <v>39</v>
      </c>
      <c r="B42" s="74"/>
      <c r="C42" s="74"/>
      <c r="D42" s="74"/>
      <c r="E42" s="74"/>
      <c r="F42" s="75"/>
      <c r="G42" s="74"/>
      <c r="H42" s="67"/>
      <c r="I42" s="74"/>
      <c r="J42" s="74"/>
      <c r="K42" s="74"/>
      <c r="L42" s="75"/>
      <c r="M42" s="77"/>
      <c r="N42" s="71"/>
    </row>
    <row r="43" spans="1:14" ht="13" x14ac:dyDescent="0.25">
      <c r="A43" s="70">
        <v>40</v>
      </c>
      <c r="B43" s="74"/>
      <c r="C43" s="74"/>
      <c r="D43" s="74"/>
      <c r="E43" s="74"/>
      <c r="F43" s="75"/>
      <c r="G43" s="74"/>
      <c r="H43" s="67"/>
      <c r="I43" s="74"/>
      <c r="J43" s="74"/>
      <c r="K43" s="74"/>
      <c r="L43" s="75"/>
      <c r="M43" s="77"/>
      <c r="N43" s="71"/>
    </row>
    <row r="44" spans="1:14" ht="13" x14ac:dyDescent="0.25">
      <c r="A44" s="70">
        <v>41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7"/>
      <c r="N44" s="71"/>
    </row>
    <row r="45" spans="1:14" ht="13" x14ac:dyDescent="0.25">
      <c r="A45" s="70">
        <v>42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7"/>
      <c r="N45" s="71"/>
    </row>
    <row r="46" spans="1:14" ht="13" x14ac:dyDescent="0.25">
      <c r="A46" s="70">
        <v>43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7"/>
      <c r="N46" s="71"/>
    </row>
    <row r="47" spans="1:14" ht="13" x14ac:dyDescent="0.25">
      <c r="A47" s="70">
        <v>44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7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7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7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7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7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7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7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7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7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7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7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7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7"/>
      <c r="N59" s="71"/>
    </row>
    <row r="60" spans="1:14" ht="13" x14ac:dyDescent="0.25">
      <c r="A60" s="70">
        <v>57</v>
      </c>
      <c r="B60" s="76"/>
      <c r="C60" s="76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6"/>
      <c r="C61" s="76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6"/>
      <c r="C62" s="76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6"/>
      <c r="C63" s="76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PT0020EH-42-032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PT0020EH-42</v>
      </c>
      <c r="C76" s="61" t="str">
        <f>INDEX($A$20:$I$63,$A76,3)</f>
        <v>032</v>
      </c>
      <c r="D76" s="17"/>
      <c r="E76" s="60">
        <f>INDEX($A$20:$I$63,$A76,9)</f>
        <v>288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99140146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PT0020EH-42/Blue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EDH BLU USBCtoC 6FT braided nylon CBL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2026-06-03T20:13:25Z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