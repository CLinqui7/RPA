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 1754967 - 1754970/"/>
    </mc:Choice>
  </mc:AlternateContent>
  <xr:revisionPtr revIDLastSave="86" documentId="8_{0EBB2938-9D16-473B-B306-699D55C5D276}" xr6:coauthVersionLast="47" xr6:coauthVersionMax="47" xr10:uidLastSave="{56E85515-45CD-4D18-A65A-45B99F0977A5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1" i="1"/>
  <c r="D22" i="1"/>
  <c r="E22" i="1" s="1"/>
  <c r="D23" i="1"/>
  <c r="D20" i="1"/>
  <c r="E20" i="1" s="1"/>
  <c r="C101" i="1" s="1"/>
  <c r="D21" i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<sst xmlns="http://schemas.openxmlformats.org/spreadsheetml/2006/main" count="74" uniqueCount="56">
  <si>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</si>
  <si>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</si>
  <si>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</si>
  <si>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</si>
  <si>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</si>
  <si>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</si>
  <si>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</si>
  <si>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</si>
  <si>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</si>
  <si>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</si>
  <si>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</si>
  <si>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</si>
  <si>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</si>
  <si>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</si>
  <si>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</si>
  <si>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</si>
  <si>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</si>
  <si>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</si>
  <si>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</si>
  <si>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</si>
  <si>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</si>
  <si>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</si>
  <si>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</si>
  <si>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</si>
  <si>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</si>
  <si>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</si>
  <si>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</si>
  <si>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</si>
  <si>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</si>
  <si>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</si>
  <si>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</si>
  <si>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</si>
  <si>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</si>
  <si>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</si>
  <si>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</si>
  <si>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</si>
  <si>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</si>
  <si>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</si>
  <si>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</si>
  <si>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</si>
  <si>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</si>
  <si>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</si>
  <si>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</si>
  <si>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</si>
  <si>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</si>
  <si>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</si>
  <si>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03HARPERK</t>
  </si>
  <si>
    <t>GLITTER BLUE</t>
  </si>
  <si>
    <t>GLITTER PINK</t>
  </si>
  <si>
    <t>1786291</t>
  </si>
  <si>
    <t>1786292</t>
  </si>
  <si>
    <t>1786325</t>
  </si>
  <si>
    <t>1786326</t>
  </si>
  <si>
    <t>TOE LOOP GLITTER SLIDE</t>
  </si>
  <si>
    <t>G8A</t>
  </si>
  <si>
    <t>G6A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</si>
</sst>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B1" zoomScale="85" zoomScaleNormal="85" workbookViewId="0">
      <selection activeCell="E29" sqref="E29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4.90625" bestFit="1" customWidth="1"/>
    <col min="5" max="5" width="38.6328125" bestFit="1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78" t="s">
        <v>46</v>
      </c>
      <c r="C20" s="54" t="s">
        <v>54</v>
      </c>
      <c r="D20" s="54" t="str">
        <f t="shared" ref="D20:E23" si="0">B20&amp;"-"&amp;C20</f>
        <v>03HARPERK-G8A</v>
      </c>
      <c r="E20" s="54" t="str">
        <f t="shared" si="0"/>
        <v>G8A-03HARPERK-G8A</v>
      </c>
      <c r="F20" s="54" t="s">
        <v>47</v>
      </c>
      <c r="G20" s="50" t="s">
        <v>53</v>
      </c>
      <c r="H20" s="50"/>
      <c r="I20" s="54">
        <v>846</v>
      </c>
      <c r="J20" s="78">
        <v>1754967</v>
      </c>
      <c r="K20" s="78" t="s">
        <v>49</v>
      </c>
      <c r="L20" s="50"/>
      <c r="M20" s="80"/>
      <c r="N20" s="70"/>
    </row>
    <row r="21" spans="1:14" ht="14.5" x14ac:dyDescent="0.35">
      <c r="A21" s="69">
        <v>2</v>
      </c>
      <c r="B21" s="78" t="s">
        <v>46</v>
      </c>
      <c r="C21" s="54" t="s">
        <v>54</v>
      </c>
      <c r="D21" s="54" t="str">
        <f t="shared" si="0"/>
        <v>03HARPERK-G8A</v>
      </c>
      <c r="E21" s="54" t="str">
        <f t="shared" si="0"/>
        <v>G8A-03HARPERK-G8A</v>
      </c>
      <c r="F21" s="54" t="s">
        <v>47</v>
      </c>
      <c r="G21" s="50" t="s">
        <v>53</v>
      </c>
      <c r="H21" s="50"/>
      <c r="I21" s="54">
        <v>360</v>
      </c>
      <c r="J21" s="78">
        <v>1754968</v>
      </c>
      <c r="K21" s="78" t="s">
        <v>50</v>
      </c>
      <c r="L21" s="50"/>
      <c r="M21" s="80"/>
      <c r="N21" s="70"/>
    </row>
    <row r="22" spans="1:14" ht="14.5" x14ac:dyDescent="0.35">
      <c r="A22" s="69">
        <v>3</v>
      </c>
      <c r="B22" s="78" t="s">
        <v>46</v>
      </c>
      <c r="C22" s="54" t="s">
        <v>55</v>
      </c>
      <c r="D22" s="54" t="str">
        <f t="shared" si="0"/>
        <v>03HARPERK-G6A</v>
      </c>
      <c r="E22" s="54" t="str">
        <f t="shared" si="0"/>
        <v>G6A-03HARPERK-G6A</v>
      </c>
      <c r="F22" s="54" t="s">
        <v>48</v>
      </c>
      <c r="G22" s="50" t="s">
        <v>53</v>
      </c>
      <c r="H22" s="50"/>
      <c r="I22" s="54">
        <v>846</v>
      </c>
      <c r="J22" s="78">
        <v>1754969</v>
      </c>
      <c r="K22" s="78" t="s">
        <v>51</v>
      </c>
      <c r="L22" s="50"/>
      <c r="M22" s="80"/>
      <c r="N22" s="70"/>
    </row>
    <row r="23" spans="1:14" ht="14.5" x14ac:dyDescent="0.35">
      <c r="A23" s="69">
        <v>4</v>
      </c>
      <c r="B23" s="78" t="s">
        <v>46</v>
      </c>
      <c r="C23" s="54" t="s">
        <v>55</v>
      </c>
      <c r="D23" s="54" t="str">
        <f t="shared" si="0"/>
        <v>03HARPERK-G6A</v>
      </c>
      <c r="E23" s="54" t="str">
        <f t="shared" si="0"/>
        <v>G6A-03HARPERK-G6A</v>
      </c>
      <c r="F23" s="54" t="s">
        <v>48</v>
      </c>
      <c r="G23" s="50" t="s">
        <v>53</v>
      </c>
      <c r="H23" s="50"/>
      <c r="I23" s="54">
        <v>360</v>
      </c>
      <c r="J23" s="78">
        <v>1754970</v>
      </c>
      <c r="K23" s="78" t="s">
        <v>52</v>
      </c>
      <c r="L23" s="50"/>
      <c r="M23" s="80"/>
      <c r="N23" s="70"/>
    </row>
    <row r="24" spans="1:14" ht="14.5" x14ac:dyDescent="0.35">
      <c r="A24" s="69">
        <v>5</v>
      </c>
      <c r="B24" s="54"/>
      <c r="C24" s="50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03HARPERK-G8A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03HARPERK</v>
      </c>
      <c r="C92" s="61" t="str">
        <f>INDEX($A$20:$I$79,$A92,3)</f>
        <v>G8A</v>
      </c>
      <c r="D92" s="17"/>
      <c r="E92" s="60">
        <f>INDEX($A$20:$I$79,$A92,9)</f>
        <v>846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G8A-03HARPERK-G8A/GLITTER BLUE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TOE LOOP GLITTER SLIDE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2026-04-30T21:03:59Z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