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101" documentId="8_{0EBB2938-9D16-473B-B306-699D55C5D276}" xr6:coauthVersionLast="47" xr6:coauthVersionMax="47" xr10:uidLastSave="{D00BB4DD-066F-4F94-B5DD-95FA06BF5361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3" i="1"/>
  <c r="E21" i="1"/>
  <c r="E22" i="1"/>
  <c r="C101" i="1"/>
  <c r="D9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<sst xmlns="http://schemas.openxmlformats.org/spreadsheetml/2006/main" count="64" uniqueCount="50">
  <si>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</si>
  <si>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</si>
  <si>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</si>
  <si>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</si>
  <si>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</si>
  <si>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</si>
  <si>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</si>
  <si>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</si>
  <si>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</si>
  <si>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</si>
  <si>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</si>
  <si>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</si>
  <si>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</si>
  <si>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</si>
  <si>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</si>
  <si>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</si>
  <si>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</si>
  <si>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</si>
  <si>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</si>
  <si>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</si>
  <si>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</si>
  <si>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</si>
  <si>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</si>
  <si>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</si>
  <si>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</si>
  <si>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</si>
  <si>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</si>
  <si>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</si>
  <si>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</si>
  <si>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</si>
  <si>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</si>
  <si>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</si>
  <si>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</si>
  <si>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</si>
  <si>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</si>
  <si>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</si>
  <si>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</si>
  <si>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</si>
  <si>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</si>
  <si>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</si>
  <si>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</si>
  <si>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</si>
  <si>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</si>
  <si>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</si>
  <si>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</si>
  <si>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</si>
  <si>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EHW408-42</t>
  </si>
  <si>
    <t>003</t>
  </si>
  <si>
    <t>Cell Wallet Cell Wallet Cell Wallet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</si>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</sst>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H33" sqref="H33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4.90625" bestFit="1" customWidth="1"/>
    <col min="5" max="5" width="38.6328125" bestFit="1" customWidth="1"/>
    <col min="6" max="6" width="18.81640625" customWidth="1"/>
    <col min="7" max="7" width="27.906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46</v>
      </c>
      <c r="C20" s="54" t="s">
        <v>47</v>
      </c>
      <c r="D20" s="54" t="s">
        <v>46</v>
      </c>
      <c r="E20" s="54" t="str">
        <f>C20&amp;"-"&amp;D20</f>
        <v>003-EHW408-42</v>
      </c>
      <c r="F20" s="54" t="s">
        <v>49</v>
      </c>
      <c r="G20" s="50" t="s">
        <v>48</v>
      </c>
      <c r="H20" s="50">
        <v>97893825</v>
      </c>
      <c r="I20" s="54">
        <v>388</v>
      </c>
      <c r="J20" s="78"/>
      <c r="K20" s="78"/>
      <c r="L20" s="50"/>
      <c r="M20" s="80"/>
      <c r="N20" s="70"/>
    </row>
    <row r="21" spans="1:14" ht="14.5" x14ac:dyDescent="0.35">
      <c r="A21" s="69">
        <v>2</v>
      </c>
      <c r="B21" s="54" t="s">
        <v>46</v>
      </c>
      <c r="C21" s="54" t="s">
        <v>47</v>
      </c>
      <c r="D21" s="54" t="s">
        <v>46</v>
      </c>
      <c r="E21" s="54" t="str">
        <f t="shared" ref="D20:E23" si="0">C21&amp;"-"&amp;D21</f>
        <v>003-EHW408-42</v>
      </c>
      <c r="F21" s="54" t="s">
        <v>49</v>
      </c>
      <c r="G21" s="50" t="s">
        <v>48</v>
      </c>
      <c r="H21" s="50">
        <v>97893826</v>
      </c>
      <c r="I21" s="54">
        <v>212</v>
      </c>
      <c r="J21" s="78"/>
      <c r="K21" s="78"/>
      <c r="L21" s="50"/>
      <c r="M21" s="80"/>
      <c r="N21" s="70"/>
    </row>
    <row r="22" spans="1:14" ht="14.5" x14ac:dyDescent="0.35">
      <c r="A22" s="69">
        <v>3</v>
      </c>
      <c r="B22" s="78"/>
      <c r="C22" s="54"/>
      <c r="D22" s="54"/>
      <c r="E22" s="54" t="str">
        <f t="shared" si="0"/>
        <v>-</v>
      </c>
      <c r="F22" s="54"/>
      <c r="G22" s="50"/>
      <c r="H22" s="50"/>
      <c r="I22" s="54"/>
      <c r="J22" s="78"/>
      <c r="K22" s="78"/>
      <c r="L22" s="50"/>
      <c r="M22" s="80"/>
      <c r="N22" s="70"/>
    </row>
    <row r="23" spans="1:14" ht="14.5" x14ac:dyDescent="0.35">
      <c r="A23" s="69">
        <v>4</v>
      </c>
      <c r="B23" s="78"/>
      <c r="C23" s="54"/>
      <c r="D23" s="54"/>
      <c r="E23" s="54" t="str">
        <f t="shared" si="0"/>
        <v>-</v>
      </c>
      <c r="F23" s="54"/>
      <c r="G23" s="50"/>
      <c r="H23" s="50"/>
      <c r="I23" s="54"/>
      <c r="J23" s="78"/>
      <c r="K23" s="78"/>
      <c r="L23" s="50"/>
      <c r="M23" s="80"/>
      <c r="N23" s="70"/>
    </row>
    <row r="24" spans="1:14" ht="14.5" x14ac:dyDescent="0.35">
      <c r="A24" s="69">
        <v>5</v>
      </c>
      <c r="B24" s="54"/>
      <c r="C24" s="50"/>
      <c r="D24" s="54"/>
      <c r="E24" s="54"/>
      <c r="F24" s="50"/>
      <c r="G24" s="50"/>
      <c r="H24" s="50"/>
      <c r="I24" s="54"/>
      <c r="J24" s="78"/>
      <c r="K24" s="78"/>
      <c r="L24" s="74"/>
      <c r="M24" s="77"/>
      <c r="N24" s="70"/>
    </row>
    <row r="25" spans="1:14" ht="14.5" x14ac:dyDescent="0.35">
      <c r="A25" s="69">
        <v>6</v>
      </c>
      <c r="B25" s="54"/>
      <c r="C25" s="54"/>
      <c r="D25" s="54"/>
      <c r="E25" s="54"/>
      <c r="F25" s="50"/>
      <c r="G25" s="50"/>
      <c r="H25" s="50"/>
      <c r="I25" s="54"/>
      <c r="J25" s="78"/>
      <c r="K25" s="78"/>
      <c r="L25" s="74"/>
      <c r="M25" s="77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74"/>
      <c r="M26" s="77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74"/>
      <c r="M27" s="77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EHW408-42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EHW408-42</v>
      </c>
      <c r="C92" s="61" t="str">
        <f>INDEX($A$20:$I$79,$A92,3)</f>
        <v>003</v>
      </c>
      <c r="D92" s="17"/>
      <c r="E92" s="60">
        <f>INDEX($A$20:$I$79,$A92,9)</f>
        <v>388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97893825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003-EHW408-42/Black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Cell Wallet Cell Wallet Cell Wallet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2026-05-04T15:28:46Z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