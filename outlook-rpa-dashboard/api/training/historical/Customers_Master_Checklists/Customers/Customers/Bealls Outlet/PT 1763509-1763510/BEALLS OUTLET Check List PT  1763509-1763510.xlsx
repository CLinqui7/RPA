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16" documentId="8_{0EBB2938-9D16-473B-B306-699D55C5D276}" xr6:coauthVersionLast="47" xr6:coauthVersionMax="47" xr10:uidLastSave="{0509DCE0-BDBB-486F-AC38-2B9150BF824D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1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<sst xmlns="http://schemas.openxmlformats.org/spreadsheetml/2006/main" count="158" uniqueCount="70">
  <si>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</si>
  <si>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</si>
  <si>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</si>
  <si>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</si>
  <si>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</si>
  <si>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</si>
  <si>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</si>
  <si>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</si>
  <si>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</si>
  <si>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</si>
  <si>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</si>
  <si>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</si>
  <si>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</si>
  <si>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</si>
  <si>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</si>
  <si>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</si>
  <si>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</si>
  <si>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</si>
  <si>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</si>
  <si>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</si>
  <si>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</si>
  <si>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</si>
  <si>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</si>
  <si>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</si>
  <si>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</si>
  <si>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</si>
  <si>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</si>
  <si>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</si>
  <si>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</si>
  <si>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</si>
  <si>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</si>
  <si>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</si>
  <si>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</si>
  <si>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</si>
  <si>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</si>
  <si>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</si>
  <si>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</si>
  <si>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</si>
  <si>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</si>
  <si>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</si>
  <si>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</si>
  <si>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</si>
  <si>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</si>
  <si>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</si>
  <si>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</si>
  <si>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</si>
  <si>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EHH397PU-42</t>
  </si>
  <si>
    <t>EHH411A-42</t>
  </si>
  <si>
    <t>EHH478-42</t>
  </si>
  <si>
    <t>EHH421-42</t>
  </si>
  <si>
    <t>EHH396-42</t>
  </si>
  <si>
    <t>EHH410-42</t>
  </si>
  <si>
    <t>EHH422-42</t>
  </si>
  <si>
    <t>EHH409-42</t>
  </si>
  <si>
    <t>003</t>
  </si>
  <si>
    <t>085</t>
  </si>
  <si>
    <t>362</t>
  </si>
  <si>
    <t>BMT</t>
  </si>
  <si>
    <t>DBT</t>
  </si>
  <si>
    <t>DNM</t>
  </si>
  <si>
    <t>K40</t>
  </si>
  <si>
    <t>USH</t>
  </si>
  <si>
    <t>1868211</t>
  </si>
  <si>
    <t>1868212</t>
  </si>
  <si>
    <t>Baguette</t>
  </si>
  <si>
    <t>4 Poster</t>
  </si>
  <si>
    <t>Small Satchel</t>
  </si>
  <si>
    <t>Short Shoulder</t>
  </si>
  <si>
    <t>Ashley</t>
  </si>
  <si>
    <t>Baguette w swag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</si>
</sst>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0" fillId="11" borderId="1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3" zoomScale="91" zoomScaleNormal="91" workbookViewId="0">
      <selection activeCell="G25" sqref="G25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41.5429687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2" t="s">
        <v>32</v>
      </c>
      <c r="F2" s="83"/>
      <c r="G2" s="84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5" t="s">
        <v>33</v>
      </c>
      <c r="D7" s="86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7" t="s">
        <v>46</v>
      </c>
      <c r="C20" s="87" t="s">
        <v>54</v>
      </c>
      <c r="D20" s="87" t="str">
        <f t="shared" ref="D20:D37" si="0">B20&amp;"-"&amp;C20</f>
        <v>EHH397PU-42-003</v>
      </c>
      <c r="E20" s="87" t="s">
        <v>46</v>
      </c>
      <c r="F20" s="87" t="s">
        <v>54</v>
      </c>
      <c r="G20" s="87" t="s">
        <v>65</v>
      </c>
      <c r="H20" s="87">
        <v>99382314</v>
      </c>
      <c r="I20" s="87">
        <v>532</v>
      </c>
      <c r="J20" s="88">
        <v>1763509</v>
      </c>
      <c r="K20" s="88" t="s">
        <v>62</v>
      </c>
      <c r="L20" s="75"/>
      <c r="M20" s="77"/>
      <c r="N20" s="71"/>
    </row>
    <row r="21" spans="1:14" ht="18.5" x14ac:dyDescent="0.45">
      <c r="A21" s="70">
        <v>2</v>
      </c>
      <c r="B21" s="87" t="s">
        <v>47</v>
      </c>
      <c r="C21" s="87" t="s">
        <v>54</v>
      </c>
      <c r="D21" s="87" t="str">
        <f t="shared" si="0"/>
        <v>EHH411A-42-003</v>
      </c>
      <c r="E21" s="87" t="s">
        <v>47</v>
      </c>
      <c r="F21" s="87" t="s">
        <v>54</v>
      </c>
      <c r="G21" s="87" t="s">
        <v>66</v>
      </c>
      <c r="H21" s="87">
        <v>99382301</v>
      </c>
      <c r="I21" s="87">
        <v>532</v>
      </c>
      <c r="J21" s="88">
        <v>1763509</v>
      </c>
      <c r="K21" s="88" t="s">
        <v>62</v>
      </c>
      <c r="L21" s="75"/>
      <c r="M21" s="77"/>
      <c r="N21" s="71"/>
    </row>
    <row r="22" spans="1:14" ht="18.5" x14ac:dyDescent="0.45">
      <c r="A22" s="70">
        <v>19</v>
      </c>
      <c r="B22" s="87" t="s">
        <v>48</v>
      </c>
      <c r="C22" s="87" t="s">
        <v>55</v>
      </c>
      <c r="D22" s="87" t="str">
        <f t="shared" si="0"/>
        <v>EHH478-42-085</v>
      </c>
      <c r="E22" s="87" t="s">
        <v>48</v>
      </c>
      <c r="F22" s="87" t="s">
        <v>55</v>
      </c>
      <c r="G22" s="87" t="s">
        <v>69</v>
      </c>
      <c r="H22" s="87">
        <v>99382295</v>
      </c>
      <c r="I22" s="87">
        <v>532</v>
      </c>
      <c r="J22" s="87">
        <v>1763509</v>
      </c>
      <c r="K22" s="87" t="s">
        <v>62</v>
      </c>
      <c r="L22" s="75"/>
      <c r="M22" s="77"/>
      <c r="N22" s="71"/>
    </row>
    <row r="23" spans="1:14" ht="18.5" x14ac:dyDescent="0.45">
      <c r="A23" s="70">
        <v>20</v>
      </c>
      <c r="B23" s="87" t="s">
        <v>48</v>
      </c>
      <c r="C23" s="87" t="s">
        <v>56</v>
      </c>
      <c r="D23" s="87" t="str">
        <f t="shared" si="0"/>
        <v>EHH478-42-362</v>
      </c>
      <c r="E23" s="87" t="s">
        <v>48</v>
      </c>
      <c r="F23" s="87" t="s">
        <v>56</v>
      </c>
      <c r="G23" s="87" t="s">
        <v>69</v>
      </c>
      <c r="H23" s="87">
        <v>99382283</v>
      </c>
      <c r="I23" s="87">
        <v>532</v>
      </c>
      <c r="J23" s="87">
        <v>1763509</v>
      </c>
      <c r="K23" s="87" t="s">
        <v>62</v>
      </c>
      <c r="L23" s="75"/>
      <c r="M23" s="77"/>
      <c r="N23" s="71"/>
    </row>
    <row r="24" spans="1:14" ht="18.5" x14ac:dyDescent="0.45">
      <c r="A24" s="70">
        <v>21</v>
      </c>
      <c r="B24" s="87" t="s">
        <v>49</v>
      </c>
      <c r="C24" s="87" t="s">
        <v>57</v>
      </c>
      <c r="D24" s="87" t="str">
        <f t="shared" si="0"/>
        <v>EHH421-42-BMT</v>
      </c>
      <c r="E24" s="87" t="s">
        <v>49</v>
      </c>
      <c r="F24" s="87" t="s">
        <v>57</v>
      </c>
      <c r="G24" s="87" t="s">
        <v>67</v>
      </c>
      <c r="H24" s="87">
        <v>99382326</v>
      </c>
      <c r="I24" s="87">
        <v>949</v>
      </c>
      <c r="J24" s="87">
        <v>1763509</v>
      </c>
      <c r="K24" s="87" t="s">
        <v>62</v>
      </c>
      <c r="L24" s="75"/>
      <c r="M24" s="77"/>
      <c r="N24" s="71"/>
    </row>
    <row r="25" spans="1:14" ht="18.5" x14ac:dyDescent="0.45">
      <c r="A25" s="70">
        <v>22</v>
      </c>
      <c r="B25" s="87" t="s">
        <v>50</v>
      </c>
      <c r="C25" s="87" t="s">
        <v>58</v>
      </c>
      <c r="D25" s="87" t="str">
        <f t="shared" si="0"/>
        <v>EHH396-42-DBT</v>
      </c>
      <c r="E25" s="87" t="s">
        <v>50</v>
      </c>
      <c r="F25" s="87" t="s">
        <v>58</v>
      </c>
      <c r="G25" s="87" t="s">
        <v>64</v>
      </c>
      <c r="H25" s="87">
        <v>99382353</v>
      </c>
      <c r="I25" s="87">
        <v>532</v>
      </c>
      <c r="J25" s="87">
        <v>1763509</v>
      </c>
      <c r="K25" s="87" t="s">
        <v>62</v>
      </c>
      <c r="L25" s="75"/>
      <c r="M25" s="77"/>
      <c r="N25" s="71"/>
    </row>
    <row r="26" spans="1:14" ht="18.5" x14ac:dyDescent="0.45">
      <c r="A26" s="70">
        <v>23</v>
      </c>
      <c r="B26" s="87" t="s">
        <v>51</v>
      </c>
      <c r="C26" s="87" t="s">
        <v>59</v>
      </c>
      <c r="D26" s="87" t="str">
        <f t="shared" si="0"/>
        <v>EHH410-42-DNM</v>
      </c>
      <c r="E26" s="87" t="s">
        <v>51</v>
      </c>
      <c r="F26" s="87" t="s">
        <v>59</v>
      </c>
      <c r="G26" s="87">
        <v>8400</v>
      </c>
      <c r="H26" s="87">
        <v>99382341</v>
      </c>
      <c r="I26" s="87">
        <v>949</v>
      </c>
      <c r="J26" s="87">
        <v>1763509</v>
      </c>
      <c r="K26" s="87" t="s">
        <v>62</v>
      </c>
      <c r="L26" s="75"/>
      <c r="M26" s="77"/>
      <c r="N26" s="71"/>
    </row>
    <row r="27" spans="1:14" ht="18.5" x14ac:dyDescent="0.45">
      <c r="A27" s="70">
        <v>24</v>
      </c>
      <c r="B27" s="87" t="s">
        <v>52</v>
      </c>
      <c r="C27" s="87" t="s">
        <v>60</v>
      </c>
      <c r="D27" s="87" t="str">
        <f t="shared" si="0"/>
        <v>EHH422-42-K40</v>
      </c>
      <c r="E27" s="87" t="s">
        <v>52</v>
      </c>
      <c r="F27" s="87" t="s">
        <v>60</v>
      </c>
      <c r="G27" s="87" t="s">
        <v>68</v>
      </c>
      <c r="H27" s="87">
        <v>99382338</v>
      </c>
      <c r="I27" s="87">
        <v>532</v>
      </c>
      <c r="J27" s="87">
        <v>1763509</v>
      </c>
      <c r="K27" s="87" t="s">
        <v>62</v>
      </c>
      <c r="L27" s="75"/>
      <c r="M27" s="77"/>
      <c r="N27" s="71"/>
    </row>
    <row r="28" spans="1:14" ht="18.5" x14ac:dyDescent="0.45">
      <c r="A28" s="70">
        <v>25</v>
      </c>
      <c r="B28" s="87" t="s">
        <v>53</v>
      </c>
      <c r="C28" s="87" t="s">
        <v>61</v>
      </c>
      <c r="D28" s="87" t="str">
        <f t="shared" si="0"/>
        <v>EHH409-42-USH</v>
      </c>
      <c r="E28" s="87" t="s">
        <v>53</v>
      </c>
      <c r="F28" s="87" t="s">
        <v>61</v>
      </c>
      <c r="G28" s="87">
        <v>4200</v>
      </c>
      <c r="H28" s="87">
        <v>99382365</v>
      </c>
      <c r="I28" s="87">
        <v>949</v>
      </c>
      <c r="J28" s="87">
        <v>1763509</v>
      </c>
      <c r="K28" s="87" t="s">
        <v>62</v>
      </c>
      <c r="L28" s="75"/>
      <c r="M28" s="77"/>
      <c r="N28" s="71"/>
    </row>
    <row r="29" spans="1:14" s="94" customFormat="1" ht="18.5" x14ac:dyDescent="0.45">
      <c r="A29" s="89">
        <v>26</v>
      </c>
      <c r="B29" s="90" t="s">
        <v>46</v>
      </c>
      <c r="C29" s="90" t="s">
        <v>54</v>
      </c>
      <c r="D29" s="90" t="str">
        <f t="shared" si="0"/>
        <v>EHH397PU-42-003</v>
      </c>
      <c r="E29" s="90" t="s">
        <v>46</v>
      </c>
      <c r="F29" s="90" t="s">
        <v>54</v>
      </c>
      <c r="G29" s="90" t="s">
        <v>65</v>
      </c>
      <c r="H29" s="90">
        <v>99382314</v>
      </c>
      <c r="I29" s="90">
        <v>68</v>
      </c>
      <c r="J29" s="90">
        <v>1763510</v>
      </c>
      <c r="K29" s="90" t="s">
        <v>63</v>
      </c>
      <c r="L29" s="91"/>
      <c r="M29" s="92"/>
      <c r="N29" s="93"/>
    </row>
    <row r="30" spans="1:14" ht="18.5" x14ac:dyDescent="0.45">
      <c r="A30" s="70">
        <v>27</v>
      </c>
      <c r="B30" s="87" t="s">
        <v>47</v>
      </c>
      <c r="C30" s="87" t="s">
        <v>54</v>
      </c>
      <c r="D30" s="87" t="str">
        <f t="shared" si="0"/>
        <v>EHH411A-42-003</v>
      </c>
      <c r="E30" s="87" t="s">
        <v>47</v>
      </c>
      <c r="F30" s="87" t="s">
        <v>54</v>
      </c>
      <c r="G30" s="87" t="s">
        <v>66</v>
      </c>
      <c r="H30" s="87">
        <v>99382301</v>
      </c>
      <c r="I30" s="87">
        <v>68</v>
      </c>
      <c r="J30" s="87">
        <v>1763510</v>
      </c>
      <c r="K30" s="87" t="s">
        <v>63</v>
      </c>
      <c r="L30" s="75"/>
      <c r="M30" s="77"/>
      <c r="N30" s="71"/>
    </row>
    <row r="31" spans="1:14" ht="18.5" x14ac:dyDescent="0.45">
      <c r="A31" s="70">
        <v>28</v>
      </c>
      <c r="B31" s="87" t="s">
        <v>48</v>
      </c>
      <c r="C31" s="87" t="s">
        <v>55</v>
      </c>
      <c r="D31" s="87" t="str">
        <f t="shared" si="0"/>
        <v>EHH478-42-085</v>
      </c>
      <c r="E31" s="87" t="s">
        <v>48</v>
      </c>
      <c r="F31" s="87" t="s">
        <v>55</v>
      </c>
      <c r="G31" s="87" t="s">
        <v>69</v>
      </c>
      <c r="H31" s="87">
        <v>99382295</v>
      </c>
      <c r="I31" s="87">
        <v>68</v>
      </c>
      <c r="J31" s="87">
        <v>1763510</v>
      </c>
      <c r="K31" s="87" t="s">
        <v>63</v>
      </c>
      <c r="L31" s="75"/>
      <c r="M31" s="77"/>
      <c r="N31" s="71"/>
    </row>
    <row r="32" spans="1:14" ht="18.5" x14ac:dyDescent="0.45">
      <c r="A32" s="70">
        <v>29</v>
      </c>
      <c r="B32" s="87" t="s">
        <v>48</v>
      </c>
      <c r="C32" s="87" t="s">
        <v>56</v>
      </c>
      <c r="D32" s="87" t="str">
        <f t="shared" si="0"/>
        <v>EHH478-42-362</v>
      </c>
      <c r="E32" s="87" t="s">
        <v>48</v>
      </c>
      <c r="F32" s="95" t="s">
        <v>56</v>
      </c>
      <c r="G32" s="87" t="s">
        <v>69</v>
      </c>
      <c r="H32" s="87">
        <v>99382283</v>
      </c>
      <c r="I32" s="87">
        <v>68</v>
      </c>
      <c r="J32" s="87">
        <v>1763510</v>
      </c>
      <c r="K32" s="87" t="s">
        <v>63</v>
      </c>
      <c r="L32" s="75"/>
      <c r="M32" s="77"/>
      <c r="N32" s="71"/>
    </row>
    <row r="33" spans="1:14" ht="18.5" x14ac:dyDescent="0.45">
      <c r="A33" s="70">
        <v>30</v>
      </c>
      <c r="B33" s="87" t="s">
        <v>49</v>
      </c>
      <c r="C33" s="87" t="s">
        <v>57</v>
      </c>
      <c r="D33" s="87" t="str">
        <f t="shared" si="0"/>
        <v>EHH421-42-BMT</v>
      </c>
      <c r="E33" s="87" t="s">
        <v>49</v>
      </c>
      <c r="F33" s="95" t="s">
        <v>57</v>
      </c>
      <c r="G33" s="87" t="s">
        <v>67</v>
      </c>
      <c r="H33" s="87">
        <v>99382326</v>
      </c>
      <c r="I33" s="87">
        <v>251</v>
      </c>
      <c r="J33" s="87">
        <v>1763510</v>
      </c>
      <c r="K33" s="87" t="s">
        <v>63</v>
      </c>
      <c r="L33" s="75"/>
      <c r="M33" s="77"/>
      <c r="N33" s="71"/>
    </row>
    <row r="34" spans="1:14" ht="18.5" x14ac:dyDescent="0.45">
      <c r="A34" s="70">
        <v>31</v>
      </c>
      <c r="B34" s="87" t="s">
        <v>50</v>
      </c>
      <c r="C34" s="87" t="s">
        <v>58</v>
      </c>
      <c r="D34" s="87" t="str">
        <f t="shared" si="0"/>
        <v>EHH396-42-DBT</v>
      </c>
      <c r="E34" s="87" t="s">
        <v>50</v>
      </c>
      <c r="F34" s="95" t="s">
        <v>58</v>
      </c>
      <c r="G34" s="87" t="s">
        <v>64</v>
      </c>
      <c r="H34" s="87">
        <v>99382353</v>
      </c>
      <c r="I34" s="87">
        <v>68</v>
      </c>
      <c r="J34" s="87">
        <v>1763510</v>
      </c>
      <c r="K34" s="87" t="s">
        <v>63</v>
      </c>
      <c r="L34" s="75"/>
      <c r="M34" s="77"/>
      <c r="N34" s="71"/>
    </row>
    <row r="35" spans="1:14" ht="18.5" x14ac:dyDescent="0.45">
      <c r="A35" s="70">
        <v>32</v>
      </c>
      <c r="B35" s="87" t="s">
        <v>51</v>
      </c>
      <c r="C35" s="87" t="s">
        <v>59</v>
      </c>
      <c r="D35" s="87" t="str">
        <f t="shared" si="0"/>
        <v>EHH410-42-DNM</v>
      </c>
      <c r="E35" s="87" t="s">
        <v>51</v>
      </c>
      <c r="F35" s="95" t="s">
        <v>59</v>
      </c>
      <c r="G35" s="87">
        <v>8400</v>
      </c>
      <c r="H35" s="87">
        <v>99382341</v>
      </c>
      <c r="I35" s="87">
        <v>251</v>
      </c>
      <c r="J35" s="87">
        <v>1763510</v>
      </c>
      <c r="K35" s="87" t="s">
        <v>63</v>
      </c>
      <c r="L35" s="75"/>
      <c r="M35" s="77"/>
      <c r="N35" s="71"/>
    </row>
    <row r="36" spans="1:14" ht="18.5" x14ac:dyDescent="0.45">
      <c r="A36" s="70">
        <v>33</v>
      </c>
      <c r="B36" s="87" t="s">
        <v>52</v>
      </c>
      <c r="C36" s="87" t="s">
        <v>60</v>
      </c>
      <c r="D36" s="87" t="str">
        <f t="shared" si="0"/>
        <v>EHH422-42-K40</v>
      </c>
      <c r="E36" s="87" t="s">
        <v>52</v>
      </c>
      <c r="F36" s="95" t="s">
        <v>60</v>
      </c>
      <c r="G36" s="87" t="s">
        <v>68</v>
      </c>
      <c r="H36" s="87">
        <v>99382338</v>
      </c>
      <c r="I36" s="87">
        <v>68</v>
      </c>
      <c r="J36" s="87">
        <v>1763510</v>
      </c>
      <c r="K36" s="87" t="s">
        <v>63</v>
      </c>
      <c r="L36" s="75"/>
      <c r="M36" s="77"/>
      <c r="N36" s="71"/>
    </row>
    <row r="37" spans="1:14" ht="18.5" x14ac:dyDescent="0.45">
      <c r="A37" s="70">
        <v>34</v>
      </c>
      <c r="B37" s="87" t="s">
        <v>53</v>
      </c>
      <c r="C37" s="87" t="s">
        <v>61</v>
      </c>
      <c r="D37" s="87" t="str">
        <f t="shared" si="0"/>
        <v>EHH409-42-USH</v>
      </c>
      <c r="E37" s="87" t="s">
        <v>53</v>
      </c>
      <c r="F37" s="95" t="s">
        <v>61</v>
      </c>
      <c r="G37" s="87">
        <v>4200</v>
      </c>
      <c r="H37" s="87">
        <v>99382365</v>
      </c>
      <c r="I37" s="87">
        <v>251</v>
      </c>
      <c r="J37" s="87">
        <v>1763510</v>
      </c>
      <c r="K37" s="87" t="s">
        <v>63</v>
      </c>
      <c r="L37" s="75"/>
      <c r="M37" s="77"/>
      <c r="N37" s="71"/>
    </row>
    <row r="38" spans="1:14" ht="15.5" x14ac:dyDescent="0.35">
      <c r="A38" s="70">
        <v>35</v>
      </c>
      <c r="B38" s="79"/>
      <c r="C38" s="79"/>
      <c r="D38" s="7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EHH397PU-42-003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EHH397PU-42</v>
      </c>
      <c r="C76" s="61" t="str">
        <f>INDEX($A$20:$I$63,$A76,3)</f>
        <v>003</v>
      </c>
      <c r="D76" s="17"/>
      <c r="E76" s="60">
        <f>INDEX($A$20:$I$63,$A76,9)</f>
        <v>532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99382314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EHH397PU-42/003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4 Poster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2026-06-09T13:59:33Z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