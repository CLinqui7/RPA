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60" documentId="8_{0EBB2938-9D16-473B-B306-699D55C5D276}" xr6:coauthVersionLast="47" xr6:coauthVersionMax="47" xr10:uidLastSave="{FF019DF1-FD8A-41E0-BD65-E966AC753449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1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<sst xmlns="http://schemas.openxmlformats.org/spreadsheetml/2006/main" count="102" uniqueCount="79">
  <si>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</si>
  <si>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</si>
  <si>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</si>
  <si>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</si>
  <si>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</si>
  <si>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</si>
  <si>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</si>
  <si>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</si>
  <si>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</si>
  <si>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</si>
  <si>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</si>
  <si>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</si>
  <si>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</si>
  <si>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</si>
  <si>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</si>
  <si>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</si>
  <si>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</si>
  <si>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</si>
  <si>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</si>
  <si>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</si>
  <si>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</si>
  <si>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</si>
  <si>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</si>
  <si>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</si>
  <si>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</si>
  <si>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</si>
  <si>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</si>
  <si>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</si>
  <si>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</si>
  <si>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</si>
  <si>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</si>
  <si>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</si>
  <si>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</si>
  <si>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</si>
  <si>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</si>
  <si>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</si>
  <si>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</si>
  <si>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</si>
  <si>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</si>
  <si>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</si>
  <si>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</si>
  <si>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</si>
  <si>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</si>
  <si>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</si>
  <si>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</si>
  <si>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</si>
  <si>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WMH082-42</t>
  </si>
  <si>
    <t>003</t>
  </si>
  <si>
    <t>SDL</t>
  </si>
  <si>
    <t>Saddle</t>
  </si>
  <si>
    <t>Black</t>
  </si>
  <si>
    <t>SADDLE</t>
  </si>
  <si>
    <t>WMH464-42</t>
  </si>
  <si>
    <t>WMH099-42</t>
  </si>
  <si>
    <t>WMH428-09</t>
  </si>
  <si>
    <t>WMH542-42</t>
  </si>
  <si>
    <t>WMH068-42</t>
  </si>
  <si>
    <t>AB2</t>
  </si>
  <si>
    <t>TAU</t>
  </si>
  <si>
    <t>WM1</t>
  </si>
  <si>
    <t>WM2</t>
  </si>
  <si>
    <t>1930764</t>
  </si>
  <si>
    <t>WMH068-42 WM1</t>
  </si>
  <si>
    <t>WMH068-42 WM2</t>
  </si>
  <si>
    <t>WMH082-42 WM2</t>
  </si>
  <si>
    <t>WMH099-42 AB2</t>
  </si>
  <si>
    <t>WMH428-09 SDL</t>
  </si>
  <si>
    <t>WMH464-42 003</t>
  </si>
  <si>
    <t>WMH464-42 TAU</t>
  </si>
  <si>
    <t>WMH542-42 SDL</t>
  </si>
  <si>
    <t>Taupe</t>
  </si>
  <si>
    <t>Garnet Hill Camera Organizer</t>
  </si>
  <si>
    <t>Vineyard Hill Camera Organizer TAUPE</t>
  </si>
  <si>
    <t>Vineyard Hill Camera Organizer BLACK</t>
  </si>
  <si>
    <t>Dallas Crossbody SADDLE</t>
  </si>
  <si>
    <t>EMORY Cell Crossbody Org SADDLE</t>
  </si>
  <si>
    <t>Westmont Crobo TAUPE</t>
  </si>
  <si>
    <t>Aspen North South Crossbody TAUPE</t>
  </si>
  <si>
    <t>Aspen North South Crossbody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</si>
</sst>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30" fillId="7" borderId="11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30" fillId="7" borderId="11" xfId="1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0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10" zoomScale="91" zoomScaleNormal="91" workbookViewId="0">
      <selection activeCell="G36" sqref="G36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32.54296875" customWidth="1"/>
    <col min="6" max="6" width="18.81640625" customWidth="1"/>
    <col min="7" max="7" width="67.363281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7" t="s">
        <v>32</v>
      </c>
      <c r="F2" s="88"/>
      <c r="G2" s="89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0" t="s">
        <v>33</v>
      </c>
      <c r="D7" s="91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79" t="s">
        <v>52</v>
      </c>
      <c r="C20" s="79" t="s">
        <v>47</v>
      </c>
      <c r="D20" s="79" t="str">
        <f t="shared" ref="D20:D47" si="0">B20&amp;"-"&amp;C20</f>
        <v>WMH464-42-003</v>
      </c>
      <c r="E20" s="92" t="s">
        <v>67</v>
      </c>
      <c r="F20" s="92" t="s">
        <v>50</v>
      </c>
      <c r="G20" s="92" t="s">
        <v>73</v>
      </c>
      <c r="H20" s="92">
        <v>846690</v>
      </c>
      <c r="I20" s="79">
        <v>60</v>
      </c>
      <c r="J20" s="80">
        <v>1766256</v>
      </c>
      <c r="K20" s="80" t="s">
        <v>61</v>
      </c>
      <c r="L20" s="75"/>
      <c r="M20" s="77"/>
      <c r="N20" s="71"/>
    </row>
    <row r="21" spans="1:14" ht="18.5" x14ac:dyDescent="0.45">
      <c r="A21" s="70">
        <v>2</v>
      </c>
      <c r="B21" s="79" t="s">
        <v>53</v>
      </c>
      <c r="C21" s="79" t="s">
        <v>57</v>
      </c>
      <c r="D21" s="79" t="str">
        <f t="shared" si="0"/>
        <v>WMH099-42-AB2</v>
      </c>
      <c r="E21" s="92" t="s">
        <v>65</v>
      </c>
      <c r="F21" s="92" t="s">
        <v>51</v>
      </c>
      <c r="G21" s="92" t="s">
        <v>75</v>
      </c>
      <c r="H21" s="92">
        <v>846705</v>
      </c>
      <c r="I21" s="79">
        <v>60</v>
      </c>
      <c r="J21" s="80">
        <v>1766256</v>
      </c>
      <c r="K21" s="80" t="s">
        <v>61</v>
      </c>
      <c r="L21" s="75"/>
      <c r="M21" s="77"/>
      <c r="N21" s="71"/>
    </row>
    <row r="22" spans="1:14" ht="17.5" x14ac:dyDescent="0.35">
      <c r="A22" s="70">
        <v>19</v>
      </c>
      <c r="B22" s="79" t="s">
        <v>54</v>
      </c>
      <c r="C22" s="79" t="s">
        <v>48</v>
      </c>
      <c r="D22" s="79" t="str">
        <f t="shared" si="0"/>
        <v>WMH428-09-SDL</v>
      </c>
      <c r="E22" s="92" t="s">
        <v>66</v>
      </c>
      <c r="F22" s="92" t="s">
        <v>51</v>
      </c>
      <c r="G22" s="92" t="s">
        <v>74</v>
      </c>
      <c r="H22" s="92">
        <v>846718</v>
      </c>
      <c r="I22" s="79">
        <v>60</v>
      </c>
      <c r="J22" s="79">
        <v>1766256</v>
      </c>
      <c r="K22" s="79" t="s">
        <v>61</v>
      </c>
      <c r="L22" s="75"/>
      <c r="M22" s="77"/>
      <c r="N22" s="71"/>
    </row>
    <row r="23" spans="1:14" ht="17.5" x14ac:dyDescent="0.35">
      <c r="A23" s="70">
        <v>20</v>
      </c>
      <c r="B23" s="79" t="s">
        <v>55</v>
      </c>
      <c r="C23" s="79" t="s">
        <v>48</v>
      </c>
      <c r="D23" s="79" t="str">
        <f t="shared" si="0"/>
        <v>WMH542-42-SDL</v>
      </c>
      <c r="E23" s="92" t="s">
        <v>69</v>
      </c>
      <c r="F23" s="92" t="s">
        <v>49</v>
      </c>
      <c r="G23" s="92" t="s">
        <v>71</v>
      </c>
      <c r="H23" s="92">
        <v>846720</v>
      </c>
      <c r="I23" s="79">
        <v>60</v>
      </c>
      <c r="J23" s="79">
        <v>1766256</v>
      </c>
      <c r="K23" s="79" t="s">
        <v>61</v>
      </c>
      <c r="L23" s="75"/>
      <c r="M23" s="77"/>
      <c r="N23" s="71"/>
    </row>
    <row r="24" spans="1:14" ht="17.5" x14ac:dyDescent="0.35">
      <c r="A24" s="70">
        <v>21</v>
      </c>
      <c r="B24" s="79" t="s">
        <v>52</v>
      </c>
      <c r="C24" s="79" t="s">
        <v>58</v>
      </c>
      <c r="D24" s="79" t="str">
        <f t="shared" si="0"/>
        <v>WMH464-42-TAU</v>
      </c>
      <c r="E24" s="92" t="s">
        <v>68</v>
      </c>
      <c r="F24" s="92" t="s">
        <v>70</v>
      </c>
      <c r="G24" s="92" t="s">
        <v>72</v>
      </c>
      <c r="H24" s="92">
        <v>846745</v>
      </c>
      <c r="I24" s="79">
        <v>80</v>
      </c>
      <c r="J24" s="79">
        <v>1766256</v>
      </c>
      <c r="K24" s="79" t="s">
        <v>61</v>
      </c>
      <c r="L24" s="75"/>
      <c r="M24" s="77"/>
      <c r="N24" s="71"/>
    </row>
    <row r="25" spans="1:14" ht="17.5" x14ac:dyDescent="0.35">
      <c r="A25" s="70">
        <v>22</v>
      </c>
      <c r="B25" s="79" t="s">
        <v>56</v>
      </c>
      <c r="C25" s="79" t="s">
        <v>59</v>
      </c>
      <c r="D25" s="79" t="str">
        <f t="shared" si="0"/>
        <v>WMH068-42-WM1</v>
      </c>
      <c r="E25" s="92" t="s">
        <v>62</v>
      </c>
      <c r="F25" s="92" t="s">
        <v>50</v>
      </c>
      <c r="G25" s="92" t="s">
        <v>78</v>
      </c>
      <c r="H25" s="92">
        <v>846688</v>
      </c>
      <c r="I25" s="79">
        <v>60</v>
      </c>
      <c r="J25" s="79">
        <v>1766256</v>
      </c>
      <c r="K25" s="79" t="s">
        <v>61</v>
      </c>
      <c r="L25" s="75"/>
      <c r="M25" s="77"/>
      <c r="N25" s="71"/>
    </row>
    <row r="26" spans="1:14" ht="17.5" x14ac:dyDescent="0.35">
      <c r="A26" s="70">
        <v>23</v>
      </c>
      <c r="B26" s="79" t="s">
        <v>56</v>
      </c>
      <c r="C26" s="79" t="s">
        <v>60</v>
      </c>
      <c r="D26" s="79" t="str">
        <f t="shared" si="0"/>
        <v>WMH068-42-WM2</v>
      </c>
      <c r="E26" s="92" t="s">
        <v>63</v>
      </c>
      <c r="F26" s="92" t="s">
        <v>70</v>
      </c>
      <c r="G26" s="92" t="s">
        <v>77</v>
      </c>
      <c r="H26" s="92">
        <v>846732</v>
      </c>
      <c r="I26" s="79">
        <v>60</v>
      </c>
      <c r="J26" s="79">
        <v>1766256</v>
      </c>
      <c r="K26" s="79" t="s">
        <v>61</v>
      </c>
      <c r="L26" s="75"/>
      <c r="M26" s="77"/>
      <c r="N26" s="71"/>
    </row>
    <row r="27" spans="1:14" ht="17.5" x14ac:dyDescent="0.35">
      <c r="A27" s="70">
        <v>24</v>
      </c>
      <c r="B27" s="79" t="s">
        <v>46</v>
      </c>
      <c r="C27" s="79" t="s">
        <v>60</v>
      </c>
      <c r="D27" s="79" t="str">
        <f t="shared" si="0"/>
        <v>WMH082-42-WM2</v>
      </c>
      <c r="E27" s="92" t="s">
        <v>64</v>
      </c>
      <c r="F27" s="92" t="s">
        <v>70</v>
      </c>
      <c r="G27" s="92" t="s">
        <v>76</v>
      </c>
      <c r="H27" s="92">
        <v>846757</v>
      </c>
      <c r="I27" s="79">
        <v>30</v>
      </c>
      <c r="J27" s="79">
        <v>1766256</v>
      </c>
      <c r="K27" s="79" t="s">
        <v>61</v>
      </c>
      <c r="L27" s="75"/>
      <c r="M27" s="77"/>
      <c r="N27" s="71"/>
    </row>
    <row r="28" spans="1:14" ht="17.5" x14ac:dyDescent="0.35">
      <c r="A28" s="70">
        <v>25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5"/>
      <c r="M28" s="77"/>
      <c r="N28" s="71"/>
    </row>
    <row r="29" spans="1:14" ht="17.5" x14ac:dyDescent="0.35">
      <c r="A29" s="70">
        <v>26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5"/>
      <c r="M29" s="77"/>
      <c r="N29" s="71"/>
    </row>
    <row r="30" spans="1:14" ht="17.5" x14ac:dyDescent="0.35">
      <c r="A30" s="70">
        <v>27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5"/>
      <c r="M30" s="77"/>
      <c r="N30" s="71"/>
    </row>
    <row r="31" spans="1:14" ht="17.5" x14ac:dyDescent="0.35">
      <c r="A31" s="70">
        <v>28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5"/>
      <c r="M31" s="77"/>
      <c r="N31" s="71"/>
    </row>
    <row r="32" spans="1:14" ht="17.5" x14ac:dyDescent="0.35">
      <c r="A32" s="70">
        <v>29</v>
      </c>
      <c r="B32" s="79"/>
      <c r="C32" s="79"/>
      <c r="D32" s="79"/>
      <c r="E32" s="79"/>
      <c r="F32" s="79"/>
      <c r="G32" s="81"/>
      <c r="H32" s="79"/>
      <c r="I32" s="79"/>
      <c r="J32" s="79"/>
      <c r="K32" s="79"/>
      <c r="L32" s="75"/>
      <c r="M32" s="77"/>
      <c r="N32" s="71"/>
    </row>
    <row r="33" spans="1:14" ht="17.5" x14ac:dyDescent="0.35">
      <c r="A33" s="70">
        <v>30</v>
      </c>
      <c r="B33" s="79"/>
      <c r="C33" s="79"/>
      <c r="D33" s="79"/>
      <c r="E33" s="79"/>
      <c r="F33" s="79"/>
      <c r="G33" s="81"/>
      <c r="H33" s="79"/>
      <c r="I33" s="79"/>
      <c r="J33" s="79"/>
      <c r="K33" s="79"/>
      <c r="L33" s="75"/>
      <c r="M33" s="77"/>
      <c r="N33" s="71"/>
    </row>
    <row r="34" spans="1:14" s="86" customFormat="1" ht="17.5" x14ac:dyDescent="0.35">
      <c r="A34" s="82">
        <v>31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3"/>
      <c r="M34" s="84"/>
      <c r="N34" s="85"/>
    </row>
    <row r="35" spans="1:14" ht="17.5" x14ac:dyDescent="0.35">
      <c r="A35" s="70">
        <v>32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5"/>
      <c r="M35" s="77"/>
      <c r="N35" s="71"/>
    </row>
    <row r="36" spans="1:14" ht="17.5" x14ac:dyDescent="0.35">
      <c r="A36" s="70">
        <v>33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5"/>
      <c r="M36" s="77"/>
      <c r="N36" s="71"/>
    </row>
    <row r="37" spans="1:14" ht="17.5" x14ac:dyDescent="0.35">
      <c r="A37" s="70">
        <v>34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5"/>
      <c r="M37" s="77"/>
      <c r="N37" s="71"/>
    </row>
    <row r="38" spans="1:14" ht="17.5" x14ac:dyDescent="0.35">
      <c r="A38" s="70">
        <v>35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5"/>
      <c r="M38" s="77"/>
      <c r="N38" s="71"/>
    </row>
    <row r="39" spans="1:14" ht="17.5" x14ac:dyDescent="0.35">
      <c r="A39" s="70">
        <v>36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5"/>
      <c r="M39" s="77"/>
      <c r="N39" s="71"/>
    </row>
    <row r="40" spans="1:14" ht="17.5" x14ac:dyDescent="0.35">
      <c r="A40" s="70">
        <v>37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5"/>
      <c r="M40" s="77"/>
      <c r="N40" s="71"/>
    </row>
    <row r="41" spans="1:14" ht="17.5" x14ac:dyDescent="0.35">
      <c r="A41" s="70">
        <v>38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5"/>
      <c r="M41" s="77"/>
      <c r="N41" s="71"/>
    </row>
    <row r="42" spans="1:14" ht="17.5" x14ac:dyDescent="0.35">
      <c r="A42" s="70">
        <v>39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5"/>
      <c r="M42" s="77"/>
      <c r="N42" s="71"/>
    </row>
    <row r="43" spans="1:14" ht="17.5" x14ac:dyDescent="0.35">
      <c r="A43" s="70">
        <v>40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5"/>
      <c r="M43" s="77"/>
      <c r="N43" s="71"/>
    </row>
    <row r="44" spans="1:14" ht="17.5" x14ac:dyDescent="0.35">
      <c r="A44" s="70">
        <v>41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5"/>
      <c r="M44" s="77"/>
      <c r="N44" s="71"/>
    </row>
    <row r="45" spans="1:14" ht="17.5" x14ac:dyDescent="0.35">
      <c r="A45" s="70">
        <v>42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5"/>
      <c r="M45" s="77"/>
      <c r="N45" s="71"/>
    </row>
    <row r="46" spans="1:14" ht="17.5" x14ac:dyDescent="0.35">
      <c r="A46" s="70">
        <v>43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5"/>
      <c r="M46" s="77"/>
      <c r="N46" s="71"/>
    </row>
    <row r="47" spans="1:14" ht="17.5" x14ac:dyDescent="0.35">
      <c r="A47" s="70">
        <v>44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WMH464-42-003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WMH464-42</v>
      </c>
      <c r="C76" s="61" t="str">
        <f>INDEX($A$20:$I$63,$A76,3)</f>
        <v>003</v>
      </c>
      <c r="D76" s="17"/>
      <c r="E76" s="60">
        <f>INDEX($A$20:$I$63,$A76,9)</f>
        <v>60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846690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WMH464-42 003/Black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Vineyard Hill Camera Organizer BLACK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2026-06-22T13:27:25Z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