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EALLS OUTLET/"/>
    </mc:Choice>
  </mc:AlternateContent>
  <xr:revisionPtr revIDLastSave="616" documentId="13_ncr:1_{7AD5C836-AE64-419F-BE5C-B4E412E6FA93}" xr6:coauthVersionLast="47" xr6:coauthVersionMax="47" xr10:uidLastSave="{6AB04C6F-4C8E-46C7-9017-9F75BB75C553}"/>
  <bookViews>
    <workbookView xWindow="-105" yWindow="0" windowWidth="10455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4" i="1"/>
  <c r="E25" i="1"/>
  <c r="E26" i="1"/>
  <c r="E27" i="1"/>
  <c r="E28" i="1"/>
  <c r="E29" i="1"/>
  <c r="E20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66" i="1"/>
  <c r="B67" i="1"/>
  <c r="C67" i="1"/>
  <c r="F67" i="1"/>
  <c r="B73" i="1"/>
  <c r="B74" i="1"/>
  <c r="B75" i="1"/>
  <c r="C77" i="1"/>
  <c r="A58" i="1"/>
  <c r="C76" i="1" l="1"/>
</calcChain>
</file>

<file path=xl/sharedStrings.xml><?xml version="1.0" encoding="utf-8"?>
<sst xmlns="http://schemas.openxmlformats.org/spreadsheetml/2006/main" count="68" uniqueCount="53">
  <si>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</si>
  <si>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</si>
  <si>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</si>
  <si>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</si>
  <si>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</si>
  <si>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</si>
  <si>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</si>
  <si>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</si>
  <si>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</si>
  <si>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</si>
  <si>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</si>
  <si>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</si>
  <si>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</si>
  <si>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</si>
  <si>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</si>
  <si>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</si>
  <si>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</si>
  <si>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</si>
  <si>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</si>
  <si>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</si>
  <si>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</si>
  <si>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</si>
  <si>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</si>
  <si>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</si>
  <si>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</si>
  <si>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</si>
  <si>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</si>
  <si>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</si>
  <si>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</si>
  <si>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</si>
  <si>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</si>
  <si>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</si>
  <si>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</si>
  <si>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</si>
  <si>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</si>
  <si>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</si>
  <si>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</si>
  <si>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</si>
  <si>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</si>
  <si>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</si>
  <si>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</si>
  <si>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</si>
  <si>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</si>
  <si>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</si>
  <si>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RETAIL PRICE</t>
  </si>
  <si>
    <t>SKU</t>
  </si>
  <si>
    <t>1850237</t>
  </si>
  <si>
    <t>1850238</t>
  </si>
  <si>
    <t>PM0309WM-42</t>
  </si>
  <si>
    <t>H05</t>
  </si>
  <si>
    <t xml:space="preserve"> 6P DERM RZR</t>
  </si>
  <si>
    <t xml:space="preserve"> PM0309WM-42</t>
  </si>
  <si>
    <t>No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</si>
</sst>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7" fillId="0" borderId="0" applyNumberFormat="0" applyFill="0" applyBorder="0" applyAlignment="0" applyProtection="0"/>
    <xf numFmtId="44" fontId="32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4" fillId="0" borderId="0" xfId="0" applyFont="1"/>
    <xf numFmtId="0" fontId="10" fillId="0" borderId="0" xfId="0" applyFont="1" applyAlignment="1">
      <alignment horizontal="center"/>
    </xf>
    <xf numFmtId="0" fontId="0" fillId="3" borderId="3" xfId="0" applyFill="1" applyBorder="1" applyAlignment="1">
      <alignment horizontal="center"/>
    </xf>
    <xf numFmtId="0" fontId="15" fillId="0" borderId="0" xfId="0" applyFont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3" fillId="2" borderId="0" xfId="0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8" fillId="3" borderId="0" xfId="0" applyNumberFormat="1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8" borderId="11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/>
    <xf numFmtId="0" fontId="1" fillId="7" borderId="1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4" fontId="0" fillId="0" borderId="11" xfId="2" applyFont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61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61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0</xdr:colOff>
      <xdr:row>58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0</xdr:colOff>
      <xdr:row>58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59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64</xdr:row>
      <xdr:rowOff>0</xdr:rowOff>
    </xdr:from>
    <xdr:to>
      <xdr:col>0</xdr:col>
      <xdr:colOff>0</xdr:colOff>
      <xdr:row>64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61</xdr:row>
      <xdr:rowOff>123825</xdr:rowOff>
    </xdr:from>
    <xdr:to>
      <xdr:col>0</xdr:col>
      <xdr:colOff>1000125</xdr:colOff>
      <xdr:row>64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H1" zoomScale="85" zoomScaleNormal="85" workbookViewId="0">
      <selection activeCell="L20" sqref="L20:L21"/>
    </sheetView>
  </sheetViews>
  <sheetFormatPr baseColWidth="10" defaultColWidth="8.85546875" defaultRowHeight="12.75" x14ac:dyDescent="0.2"/>
  <cols>
    <col min="1" max="1" width="12.28515625" style="18" customWidth="1"/>
    <col min="2" max="2" width="17.5703125" style="18" customWidth="1"/>
    <col min="3" max="3" width="16" style="18" customWidth="1"/>
    <col min="4" max="4" width="12.140625" style="18" customWidth="1"/>
    <col min="5" max="5" width="23.5703125" style="18" bestFit="1" customWidth="1"/>
    <col min="6" max="6" width="19.28515625" style="18" customWidth="1"/>
    <col min="7" max="7" width="16" style="18" customWidth="1"/>
    <col min="8" max="8" width="45.7109375" style="18" customWidth="1"/>
    <col min="9" max="9" width="17.85546875" style="18" customWidth="1"/>
    <col min="10" max="10" width="17.7109375" style="18" customWidth="1"/>
    <col min="11" max="11" width="16.5703125" style="18" customWidth="1"/>
    <col min="12" max="14" width="17.7109375" style="18" customWidth="1"/>
    <col min="15" max="15" width="23.42578125" style="18" bestFit="1" customWidth="1"/>
    <col min="16" max="16" width="25.42578125" customWidth="1"/>
    <col min="17" max="17" width="16.85546875" customWidth="1"/>
    <col min="19" max="19" width="16.85546875" bestFit="1" customWidth="1"/>
    <col min="20" max="20" width="21.7109375" customWidth="1"/>
  </cols>
  <sheetData>
    <row r="1" spans="1:19" ht="13.5" thickBot="1" x14ac:dyDescent="0.25">
      <c r="A1"/>
      <c r="B1"/>
      <c r="C1" s="9"/>
      <c r="D1" s="9"/>
      <c r="E1"/>
      <c r="F1"/>
      <c r="G1"/>
      <c r="H1"/>
      <c r="I1"/>
      <c r="J1"/>
      <c r="K1"/>
      <c r="L1"/>
      <c r="M1"/>
      <c r="N1"/>
      <c r="O1"/>
    </row>
    <row r="2" spans="1:19" ht="24" thickBot="1" x14ac:dyDescent="0.4">
      <c r="A2"/>
      <c r="B2"/>
      <c r="C2" s="9"/>
      <c r="D2" s="9"/>
      <c r="E2"/>
      <c r="F2" s="84" t="s">
        <v>32</v>
      </c>
      <c r="G2" s="85"/>
      <c r="H2" s="86"/>
      <c r="I2"/>
      <c r="J2"/>
      <c r="K2"/>
      <c r="L2"/>
      <c r="M2"/>
      <c r="N2"/>
      <c r="O2"/>
    </row>
    <row r="3" spans="1:19" x14ac:dyDescent="0.2">
      <c r="A3"/>
      <c r="B3"/>
      <c r="C3" s="9"/>
      <c r="D3" s="9"/>
      <c r="E3"/>
      <c r="F3"/>
      <c r="G3"/>
      <c r="H3"/>
      <c r="I3"/>
      <c r="J3"/>
      <c r="K3"/>
      <c r="L3"/>
      <c r="M3"/>
      <c r="N3"/>
      <c r="O3"/>
    </row>
    <row r="4" spans="1:19" ht="18" x14ac:dyDescent="0.25">
      <c r="A4" s="1" t="s">
        <v>0</v>
      </c>
      <c r="B4"/>
      <c r="C4" s="9"/>
      <c r="D4" s="9"/>
      <c r="E4" s="25" t="s">
        <v>40</v>
      </c>
      <c r="F4"/>
      <c r="G4"/>
      <c r="H4"/>
      <c r="I4"/>
      <c r="J4"/>
      <c r="K4"/>
      <c r="L4"/>
      <c r="M4"/>
      <c r="N4"/>
      <c r="O4"/>
    </row>
    <row r="5" spans="1:19" ht="15.75" x14ac:dyDescent="0.25">
      <c r="A5"/>
      <c r="B5"/>
      <c r="C5" s="9"/>
      <c r="D5" s="9"/>
      <c r="E5" s="25" t="s">
        <v>40</v>
      </c>
      <c r="F5"/>
      <c r="G5"/>
      <c r="H5"/>
      <c r="I5"/>
      <c r="J5"/>
      <c r="K5"/>
      <c r="L5"/>
      <c r="M5"/>
      <c r="N5"/>
      <c r="O5"/>
    </row>
    <row r="6" spans="1:19" x14ac:dyDescent="0.2">
      <c r="A6"/>
      <c r="B6"/>
      <c r="C6" s="9"/>
      <c r="D6" s="9"/>
      <c r="E6"/>
      <c r="F6"/>
      <c r="G6"/>
      <c r="H6"/>
      <c r="I6"/>
      <c r="J6"/>
      <c r="K6"/>
      <c r="L6"/>
      <c r="M6"/>
      <c r="N6"/>
      <c r="O6"/>
    </row>
    <row r="7" spans="1:19" ht="20.25" x14ac:dyDescent="0.3">
      <c r="A7" s="26" t="s">
        <v>1</v>
      </c>
      <c r="B7"/>
      <c r="C7" s="87" t="s">
        <v>33</v>
      </c>
      <c r="D7" s="88"/>
      <c r="E7" s="89"/>
      <c r="F7" s="27" t="s">
        <v>40</v>
      </c>
      <c r="G7" s="30" t="s">
        <v>37</v>
      </c>
      <c r="H7" s="30"/>
      <c r="I7" s="30"/>
      <c r="J7" s="26"/>
      <c r="K7" s="26"/>
      <c r="L7"/>
      <c r="M7"/>
      <c r="N7"/>
      <c r="O7"/>
    </row>
    <row r="8" spans="1:19" ht="15" x14ac:dyDescent="0.25">
      <c r="A8"/>
      <c r="B8"/>
      <c r="C8" s="9"/>
      <c r="D8" s="9"/>
      <c r="E8" s="2"/>
      <c r="F8" s="2"/>
      <c r="G8" s="2"/>
      <c r="H8"/>
      <c r="I8"/>
      <c r="J8"/>
      <c r="K8"/>
      <c r="L8"/>
      <c r="M8"/>
      <c r="N8"/>
      <c r="O8"/>
    </row>
    <row r="9" spans="1:19" ht="15" x14ac:dyDescent="0.25">
      <c r="A9"/>
      <c r="B9"/>
      <c r="C9" s="9"/>
      <c r="D9" s="9"/>
      <c r="E9" s="2"/>
      <c r="F9" s="2"/>
      <c r="G9" s="2"/>
      <c r="H9"/>
      <c r="I9"/>
      <c r="J9"/>
      <c r="K9"/>
      <c r="L9"/>
      <c r="M9"/>
      <c r="N9"/>
      <c r="O9"/>
    </row>
    <row r="10" spans="1:19" ht="20.25" x14ac:dyDescent="0.3">
      <c r="A10" t="s">
        <v>2</v>
      </c>
      <c r="B10"/>
      <c r="C10" s="10" t="s">
        <v>5</v>
      </c>
      <c r="D10" s="10"/>
      <c r="E10" s="2" t="s">
        <v>2</v>
      </c>
      <c r="F10"/>
      <c r="G10"/>
      <c r="H10"/>
      <c r="I10"/>
      <c r="J10"/>
      <c r="K10"/>
      <c r="L10"/>
      <c r="M10"/>
      <c r="N10"/>
      <c r="O10"/>
    </row>
    <row r="11" spans="1:19" x14ac:dyDescent="0.2">
      <c r="A11"/>
      <c r="B11"/>
      <c r="C11" s="9"/>
      <c r="D11" s="9"/>
      <c r="E11"/>
      <c r="F11"/>
      <c r="G11"/>
      <c r="H11"/>
      <c r="I11"/>
      <c r="J11"/>
      <c r="K11"/>
      <c r="L11"/>
      <c r="M11"/>
      <c r="N11"/>
      <c r="O11"/>
    </row>
    <row r="12" spans="1:19" ht="18" x14ac:dyDescent="0.25">
      <c r="A12"/>
      <c r="B12"/>
      <c r="C12" s="11"/>
      <c r="D12" s="11"/>
      <c r="E12"/>
      <c r="F12"/>
      <c r="G12"/>
      <c r="H12"/>
      <c r="I12"/>
      <c r="J12"/>
      <c r="K12"/>
      <c r="L12"/>
      <c r="M12"/>
      <c r="N12"/>
      <c r="O12"/>
    </row>
    <row r="13" spans="1:19" ht="13.5" thickBot="1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1:19" ht="14.25" hidden="1" customHeight="1" x14ac:dyDescent="0.2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1:19" ht="33" hidden="1" customHeight="1" x14ac:dyDescent="0.2">
      <c r="A15" s="67" t="s">
        <v>3</v>
      </c>
      <c r="B15" s="66"/>
      <c r="C15" s="68"/>
      <c r="D15" s="68"/>
      <c r="E15" s="66"/>
      <c r="F15" s="69"/>
      <c r="G15" s="70"/>
      <c r="H15" s="71"/>
      <c r="I15" s="71"/>
      <c r="J15" s="71"/>
      <c r="K15" s="71"/>
      <c r="L15" s="71"/>
      <c r="M15" s="71"/>
      <c r="N15" s="71"/>
      <c r="O15" s="71"/>
      <c r="P15" s="70"/>
      <c r="Q15" s="5"/>
      <c r="R15" s="5"/>
      <c r="S15" s="5"/>
    </row>
    <row r="16" spans="1:19" ht="33" hidden="1" customHeight="1" x14ac:dyDescent="0.2">
      <c r="A16" s="66"/>
      <c r="B16" s="66"/>
      <c r="C16" s="66"/>
      <c r="D16" s="66"/>
      <c r="E16" s="66"/>
      <c r="F16" s="69"/>
      <c r="G16" s="70"/>
      <c r="H16" s="71"/>
      <c r="I16" s="71"/>
      <c r="J16" s="71"/>
      <c r="K16" s="71"/>
      <c r="L16" s="71"/>
      <c r="M16" s="71"/>
      <c r="N16" s="71"/>
      <c r="O16" s="71"/>
      <c r="P16" s="70"/>
      <c r="Q16" s="5"/>
      <c r="R16" s="5"/>
      <c r="S16" s="5"/>
    </row>
    <row r="17" spans="1:16" ht="24" hidden="1" customHeight="1" thickBot="1" x14ac:dyDescent="0.25">
      <c r="A17" s="72"/>
      <c r="B17" s="73"/>
      <c r="C17" s="74" t="s">
        <v>23</v>
      </c>
      <c r="D17" s="74"/>
      <c r="E17" s="75"/>
      <c r="F17" s="75"/>
      <c r="G17" s="76"/>
      <c r="H17" s="66"/>
      <c r="I17" s="66"/>
      <c r="J17" s="66"/>
      <c r="K17" s="66"/>
      <c r="L17" s="66"/>
      <c r="M17" s="66"/>
      <c r="N17" s="66"/>
      <c r="O17" s="66"/>
      <c r="P17" s="66"/>
    </row>
    <row r="18" spans="1:16" ht="33.75" x14ac:dyDescent="0.2">
      <c r="A18" s="77"/>
      <c r="B18" s="78" t="s">
        <v>10</v>
      </c>
      <c r="C18" s="79"/>
      <c r="D18" s="79"/>
      <c r="E18" s="79"/>
      <c r="F18" s="80"/>
      <c r="G18" s="80"/>
      <c r="H18" s="80"/>
      <c r="I18" s="81" t="s">
        <v>31</v>
      </c>
      <c r="J18" s="79"/>
      <c r="K18" s="79"/>
      <c r="L18" s="79"/>
      <c r="M18" s="79"/>
      <c r="N18" s="79"/>
      <c r="O18" s="79"/>
      <c r="P18" s="82"/>
    </row>
    <row r="19" spans="1:16" x14ac:dyDescent="0.2">
      <c r="A19" s="65"/>
      <c r="B19" s="55" t="s">
        <v>14</v>
      </c>
      <c r="C19" s="55" t="s">
        <v>20</v>
      </c>
      <c r="D19" s="55" t="s">
        <v>45</v>
      </c>
      <c r="E19" s="55" t="s">
        <v>15</v>
      </c>
      <c r="F19" s="55" t="s">
        <v>21</v>
      </c>
      <c r="G19" s="55" t="s">
        <v>17</v>
      </c>
      <c r="H19" s="55" t="s">
        <v>18</v>
      </c>
      <c r="I19" s="55" t="s">
        <v>34</v>
      </c>
      <c r="J19" s="55" t="s">
        <v>16</v>
      </c>
      <c r="K19" s="55" t="s">
        <v>44</v>
      </c>
      <c r="L19" s="55" t="s">
        <v>35</v>
      </c>
      <c r="M19" s="55" t="s">
        <v>36</v>
      </c>
      <c r="N19" s="55" t="s">
        <v>38</v>
      </c>
      <c r="O19" s="55" t="s">
        <v>39</v>
      </c>
      <c r="P19" s="55" t="s">
        <v>22</v>
      </c>
    </row>
    <row r="20" spans="1:16" s="58" customFormat="1" ht="13.5" customHeight="1" x14ac:dyDescent="0.2">
      <c r="A20" s="57">
        <v>1</v>
      </c>
      <c r="B20" s="65" t="s">
        <v>48</v>
      </c>
      <c r="C20" s="65" t="s">
        <v>49</v>
      </c>
      <c r="D20" s="57">
        <v>98926995</v>
      </c>
      <c r="E20" s="57" t="str">
        <f>B20&amp;"-"&amp;C20</f>
        <v>PM0309WM-42-H05</v>
      </c>
      <c r="F20" s="57" t="s">
        <v>51</v>
      </c>
      <c r="G20" s="57" t="s">
        <v>52</v>
      </c>
      <c r="H20" s="56" t="s">
        <v>50</v>
      </c>
      <c r="I20" s="65"/>
      <c r="J20" s="65">
        <v>792</v>
      </c>
      <c r="K20" s="83"/>
      <c r="L20" s="65">
        <v>1758214</v>
      </c>
      <c r="M20" s="65" t="s">
        <v>46</v>
      </c>
      <c r="N20" s="57"/>
      <c r="O20" s="32"/>
      <c r="P20" s="29">
        <v>75</v>
      </c>
    </row>
    <row r="21" spans="1:16" s="58" customFormat="1" ht="13.5" customHeight="1" x14ac:dyDescent="0.2">
      <c r="A21" s="57">
        <v>2</v>
      </c>
      <c r="B21" s="13" t="s">
        <v>48</v>
      </c>
      <c r="C21" s="13" t="s">
        <v>49</v>
      </c>
      <c r="D21" s="13">
        <v>98926995</v>
      </c>
      <c r="E21" s="57" t="str">
        <f t="shared" ref="E21" si="0">B21&amp;"-"&amp;C21</f>
        <v>PM0309WM-42-H05</v>
      </c>
      <c r="F21" s="13" t="s">
        <v>48</v>
      </c>
      <c r="G21" s="57" t="s">
        <v>52</v>
      </c>
      <c r="H21" s="56" t="s">
        <v>50</v>
      </c>
      <c r="I21" s="57"/>
      <c r="J21" s="56">
        <v>432</v>
      </c>
      <c r="K21" s="57"/>
      <c r="L21" s="57">
        <v>1758215</v>
      </c>
      <c r="M21" s="57" t="s">
        <v>47</v>
      </c>
      <c r="N21" s="13"/>
      <c r="O21" s="32"/>
      <c r="P21" s="29">
        <v>75</v>
      </c>
    </row>
    <row r="22" spans="1:16" s="58" customFormat="1" ht="13.5" customHeight="1" x14ac:dyDescent="0.2">
      <c r="A22" s="57">
        <v>3</v>
      </c>
      <c r="B22" s="13"/>
      <c r="C22" s="13"/>
      <c r="D22" s="57"/>
      <c r="E22" s="57"/>
      <c r="F22" s="13"/>
      <c r="G22" s="13"/>
      <c r="H22" s="56"/>
      <c r="I22" s="59"/>
      <c r="J22" s="13"/>
      <c r="K22" s="13"/>
      <c r="L22" s="13"/>
      <c r="M22" s="13"/>
      <c r="N22" s="13"/>
      <c r="O22" s="32"/>
      <c r="P22" s="29"/>
    </row>
    <row r="23" spans="1:16" s="58" customFormat="1" ht="13.5" customHeight="1" x14ac:dyDescent="0.2">
      <c r="A23" s="57">
        <v>4</v>
      </c>
      <c r="B23" s="13"/>
      <c r="C23" s="13"/>
      <c r="D23" s="13"/>
      <c r="E23" s="57"/>
      <c r="F23" s="13"/>
      <c r="G23" s="32"/>
      <c r="H23" s="56"/>
      <c r="I23" s="59"/>
      <c r="J23" s="13"/>
      <c r="K23" s="13"/>
      <c r="L23" s="13"/>
      <c r="M23" s="13"/>
      <c r="N23" s="13"/>
      <c r="P23" s="29"/>
    </row>
    <row r="24" spans="1:16" s="58" customFormat="1" ht="13.5" customHeight="1" x14ac:dyDescent="0.2">
      <c r="A24" s="57">
        <v>5</v>
      </c>
      <c r="B24" s="13"/>
      <c r="C24" s="13"/>
      <c r="D24" s="13"/>
      <c r="E24" s="57" t="str">
        <f t="shared" ref="E24:E54" si="1">B24&amp;"-"&amp;C24</f>
        <v>-</v>
      </c>
      <c r="F24" s="13"/>
      <c r="G24" s="32"/>
      <c r="H24" s="32"/>
      <c r="I24" s="59"/>
      <c r="J24" s="13"/>
      <c r="K24" s="13"/>
      <c r="L24" s="13"/>
      <c r="M24" s="13"/>
      <c r="N24" s="13"/>
      <c r="O24" s="32"/>
      <c r="P24" s="29"/>
    </row>
    <row r="25" spans="1:16" s="58" customFormat="1" ht="13.5" customHeight="1" x14ac:dyDescent="0.2">
      <c r="A25" s="57">
        <v>6</v>
      </c>
      <c r="B25" s="13"/>
      <c r="C25" s="13"/>
      <c r="D25" s="13"/>
      <c r="E25" s="57" t="str">
        <f t="shared" si="1"/>
        <v>-</v>
      </c>
      <c r="F25" s="13"/>
      <c r="G25" s="32"/>
      <c r="H25" s="32"/>
      <c r="I25" s="59"/>
      <c r="J25" s="13"/>
      <c r="K25" s="13"/>
      <c r="L25" s="13"/>
      <c r="M25" s="13"/>
      <c r="N25" s="13"/>
      <c r="O25" s="32"/>
      <c r="P25" s="29"/>
    </row>
    <row r="26" spans="1:16" s="58" customFormat="1" ht="13.5" customHeight="1" x14ac:dyDescent="0.2">
      <c r="A26" s="57">
        <v>7</v>
      </c>
      <c r="B26" s="13"/>
      <c r="C26" s="13"/>
      <c r="D26" s="13"/>
      <c r="E26" s="57" t="str">
        <f t="shared" si="1"/>
        <v>-</v>
      </c>
      <c r="F26" s="13"/>
      <c r="G26" s="32"/>
      <c r="H26" s="32"/>
      <c r="I26" s="59"/>
      <c r="J26" s="13"/>
      <c r="K26" s="13"/>
      <c r="L26" s="13"/>
      <c r="M26" s="13"/>
      <c r="N26" s="13"/>
      <c r="O26" s="32"/>
      <c r="P26" s="29"/>
    </row>
    <row r="27" spans="1:16" s="58" customFormat="1" ht="13.5" customHeight="1" x14ac:dyDescent="0.2">
      <c r="A27" s="57">
        <v>8</v>
      </c>
      <c r="B27" s="13"/>
      <c r="C27" s="13"/>
      <c r="D27" s="13"/>
      <c r="E27" s="57" t="str">
        <f t="shared" si="1"/>
        <v>-</v>
      </c>
      <c r="F27" s="13"/>
      <c r="G27" s="32"/>
      <c r="H27" s="32"/>
      <c r="I27" s="59"/>
      <c r="J27" s="13"/>
      <c r="K27" s="13"/>
      <c r="L27" s="13"/>
      <c r="M27" s="13"/>
      <c r="N27" s="13"/>
      <c r="O27" s="32"/>
      <c r="P27" s="29"/>
    </row>
    <row r="28" spans="1:16" s="58" customFormat="1" x14ac:dyDescent="0.2">
      <c r="A28" s="57">
        <v>9</v>
      </c>
      <c r="B28" s="13"/>
      <c r="C28" s="13"/>
      <c r="D28" s="13"/>
      <c r="E28" s="57" t="str">
        <f t="shared" si="1"/>
        <v>-</v>
      </c>
      <c r="F28" s="13"/>
      <c r="G28" s="32"/>
      <c r="H28" s="33"/>
      <c r="I28" s="59"/>
      <c r="J28" s="13"/>
      <c r="K28" s="13"/>
      <c r="L28" s="13"/>
      <c r="M28" s="13"/>
      <c r="N28" s="13"/>
      <c r="O28" s="32"/>
      <c r="P28" s="29"/>
    </row>
    <row r="29" spans="1:16" s="58" customFormat="1" x14ac:dyDescent="0.2">
      <c r="A29" s="57">
        <v>10</v>
      </c>
      <c r="B29" s="13"/>
      <c r="C29" s="13"/>
      <c r="D29" s="13"/>
      <c r="E29" s="57" t="str">
        <f t="shared" si="1"/>
        <v>-</v>
      </c>
      <c r="F29" s="13"/>
      <c r="G29" s="32"/>
      <c r="H29" s="33"/>
      <c r="I29" s="59"/>
      <c r="J29" s="13"/>
      <c r="K29" s="13"/>
      <c r="L29" s="13"/>
      <c r="M29" s="13"/>
      <c r="N29" s="13"/>
      <c r="O29" s="32"/>
      <c r="P29" s="29"/>
    </row>
    <row r="30" spans="1:16" s="58" customFormat="1" x14ac:dyDescent="0.2">
      <c r="A30" s="57">
        <v>11</v>
      </c>
      <c r="B30" s="13"/>
      <c r="C30" s="13"/>
      <c r="D30" s="13"/>
      <c r="E30" s="57" t="str">
        <f t="shared" si="1"/>
        <v>-</v>
      </c>
      <c r="F30" s="13"/>
      <c r="G30" s="13"/>
      <c r="H30" s="13"/>
      <c r="I30" s="59"/>
      <c r="J30" s="13"/>
      <c r="K30" s="13"/>
      <c r="L30" s="13"/>
      <c r="M30" s="13"/>
      <c r="N30" s="13"/>
      <c r="O30" s="32"/>
      <c r="P30" s="29"/>
    </row>
    <row r="31" spans="1:16" s="58" customFormat="1" x14ac:dyDescent="0.2">
      <c r="A31" s="57">
        <v>12</v>
      </c>
      <c r="B31" s="13"/>
      <c r="C31" s="13"/>
      <c r="D31" s="13"/>
      <c r="E31" s="57" t="str">
        <f t="shared" si="1"/>
        <v>-</v>
      </c>
      <c r="F31" s="13"/>
      <c r="G31" s="13"/>
      <c r="H31" s="13"/>
      <c r="I31" s="59"/>
      <c r="J31" s="13"/>
      <c r="K31" s="13"/>
      <c r="L31" s="13"/>
      <c r="M31" s="13"/>
      <c r="N31" s="13"/>
      <c r="O31" s="32"/>
      <c r="P31" s="29"/>
    </row>
    <row r="32" spans="1:16" s="58" customFormat="1" x14ac:dyDescent="0.2">
      <c r="A32" s="57">
        <v>13</v>
      </c>
      <c r="B32" s="13"/>
      <c r="C32" s="13"/>
      <c r="D32" s="13"/>
      <c r="E32" s="57" t="str">
        <f t="shared" si="1"/>
        <v>-</v>
      </c>
      <c r="F32" s="13"/>
      <c r="G32" s="13"/>
      <c r="H32" s="13"/>
      <c r="I32" s="59"/>
      <c r="J32" s="13"/>
      <c r="K32" s="13"/>
      <c r="L32" s="13"/>
      <c r="M32" s="13"/>
      <c r="N32" s="13"/>
      <c r="O32" s="32"/>
      <c r="P32" s="29"/>
    </row>
    <row r="33" spans="1:16" s="58" customFormat="1" x14ac:dyDescent="0.2">
      <c r="A33" s="57">
        <v>14</v>
      </c>
      <c r="B33" s="13"/>
      <c r="C33" s="13"/>
      <c r="D33" s="13"/>
      <c r="E33" s="57" t="str">
        <f t="shared" si="1"/>
        <v>-</v>
      </c>
      <c r="F33" s="13"/>
      <c r="G33" s="13"/>
      <c r="H33" s="13"/>
      <c r="I33" s="59"/>
      <c r="J33" s="13"/>
      <c r="K33" s="13"/>
      <c r="L33" s="13"/>
      <c r="M33" s="13"/>
      <c r="N33" s="13"/>
      <c r="O33" s="32"/>
      <c r="P33" s="29"/>
    </row>
    <row r="34" spans="1:16" s="58" customFormat="1" x14ac:dyDescent="0.2">
      <c r="A34" s="57">
        <v>15</v>
      </c>
      <c r="B34" s="13"/>
      <c r="C34" s="13"/>
      <c r="D34" s="13"/>
      <c r="E34" s="57" t="str">
        <f t="shared" si="1"/>
        <v>-</v>
      </c>
      <c r="F34" s="13"/>
      <c r="G34" s="13"/>
      <c r="H34" s="13"/>
      <c r="I34" s="59"/>
      <c r="J34" s="13"/>
      <c r="K34" s="13"/>
      <c r="L34" s="13"/>
      <c r="M34" s="13"/>
      <c r="N34" s="13"/>
      <c r="O34" s="32"/>
      <c r="P34" s="29"/>
    </row>
    <row r="35" spans="1:16" s="58" customFormat="1" x14ac:dyDescent="0.2">
      <c r="A35" s="57">
        <v>16</v>
      </c>
      <c r="B35" s="13"/>
      <c r="C35" s="13"/>
      <c r="D35" s="13"/>
      <c r="E35" s="57" t="str">
        <f t="shared" si="1"/>
        <v>-</v>
      </c>
      <c r="F35" s="13"/>
      <c r="G35" s="13"/>
      <c r="H35" s="13"/>
      <c r="I35" s="59"/>
      <c r="J35" s="13"/>
      <c r="K35" s="13"/>
      <c r="L35" s="13"/>
      <c r="M35" s="13"/>
      <c r="N35" s="13"/>
      <c r="O35" s="32"/>
      <c r="P35" s="29"/>
    </row>
    <row r="36" spans="1:16" s="58" customFormat="1" x14ac:dyDescent="0.2">
      <c r="A36" s="57">
        <v>17</v>
      </c>
      <c r="B36" s="13"/>
      <c r="C36" s="13"/>
      <c r="D36" s="13"/>
      <c r="E36" s="57" t="str">
        <f t="shared" si="1"/>
        <v>-</v>
      </c>
      <c r="F36" s="13"/>
      <c r="G36" s="13"/>
      <c r="H36" s="13"/>
      <c r="I36" s="59"/>
      <c r="J36" s="13"/>
      <c r="K36" s="13"/>
      <c r="L36" s="13"/>
      <c r="M36" s="13"/>
      <c r="N36" s="13"/>
      <c r="O36" s="32"/>
      <c r="P36" s="29"/>
    </row>
    <row r="37" spans="1:16" x14ac:dyDescent="0.2">
      <c r="A37" s="57">
        <v>18</v>
      </c>
      <c r="B37" s="17"/>
      <c r="C37" s="17"/>
      <c r="D37" s="17"/>
      <c r="E37" s="57" t="str">
        <f t="shared" si="1"/>
        <v>-</v>
      </c>
      <c r="F37" s="17"/>
      <c r="G37" s="13"/>
      <c r="H37" s="17"/>
      <c r="I37" s="28"/>
      <c r="J37" s="17"/>
      <c r="K37" s="17"/>
      <c r="L37" s="17"/>
      <c r="M37" s="17"/>
      <c r="N37" s="13"/>
      <c r="O37" s="32"/>
      <c r="P37" s="29"/>
    </row>
    <row r="38" spans="1:16" x14ac:dyDescent="0.2">
      <c r="A38" s="57">
        <v>19</v>
      </c>
      <c r="B38" s="17"/>
      <c r="C38" s="17"/>
      <c r="D38" s="17"/>
      <c r="E38" s="57" t="str">
        <f t="shared" si="1"/>
        <v>-</v>
      </c>
      <c r="F38" s="17"/>
      <c r="G38" s="13"/>
      <c r="H38" s="17"/>
      <c r="I38" s="28"/>
      <c r="J38" s="17"/>
      <c r="K38" s="17"/>
      <c r="L38" s="17"/>
      <c r="M38" s="17"/>
      <c r="N38" s="13"/>
      <c r="O38" s="32"/>
      <c r="P38" s="29"/>
    </row>
    <row r="39" spans="1:16" x14ac:dyDescent="0.2">
      <c r="A39" s="57">
        <v>20</v>
      </c>
      <c r="B39" s="17"/>
      <c r="C39" s="17"/>
      <c r="D39" s="17"/>
      <c r="E39" s="57" t="str">
        <f t="shared" si="1"/>
        <v>-</v>
      </c>
      <c r="F39" s="17"/>
      <c r="G39" s="13"/>
      <c r="H39" s="17"/>
      <c r="I39" s="28"/>
      <c r="J39" s="17"/>
      <c r="K39" s="17"/>
      <c r="L39" s="17"/>
      <c r="M39" s="17"/>
      <c r="N39" s="13"/>
      <c r="O39" s="32"/>
      <c r="P39" s="29"/>
    </row>
    <row r="40" spans="1:16" x14ac:dyDescent="0.2">
      <c r="A40" s="57">
        <v>21</v>
      </c>
      <c r="B40" s="17"/>
      <c r="C40" s="17"/>
      <c r="D40" s="17"/>
      <c r="E40" s="57" t="str">
        <f t="shared" si="1"/>
        <v>-</v>
      </c>
      <c r="F40" s="17"/>
      <c r="G40" s="13"/>
      <c r="H40" s="17"/>
      <c r="I40" s="28"/>
      <c r="J40" s="17"/>
      <c r="K40" s="17"/>
      <c r="L40" s="17"/>
      <c r="M40" s="17"/>
      <c r="N40" s="13"/>
      <c r="O40" s="32"/>
      <c r="P40" s="29"/>
    </row>
    <row r="41" spans="1:16" x14ac:dyDescent="0.2">
      <c r="A41" s="57">
        <v>22</v>
      </c>
      <c r="B41" s="17"/>
      <c r="C41" s="17"/>
      <c r="D41" s="17"/>
      <c r="E41" s="57" t="str">
        <f t="shared" si="1"/>
        <v>-</v>
      </c>
      <c r="F41" s="17"/>
      <c r="G41" s="13"/>
      <c r="H41" s="17"/>
      <c r="I41" s="28"/>
      <c r="J41" s="17"/>
      <c r="K41" s="17"/>
      <c r="L41" s="17"/>
      <c r="M41" s="17"/>
      <c r="N41" s="13"/>
      <c r="O41" s="32"/>
      <c r="P41" s="29"/>
    </row>
    <row r="42" spans="1:16" x14ac:dyDescent="0.2">
      <c r="A42" s="57">
        <v>23</v>
      </c>
      <c r="B42" s="17"/>
      <c r="C42" s="17"/>
      <c r="D42" s="17"/>
      <c r="E42" s="57" t="str">
        <f t="shared" si="1"/>
        <v>-</v>
      </c>
      <c r="F42" s="17"/>
      <c r="G42" s="13"/>
      <c r="H42" s="17"/>
      <c r="I42" s="28"/>
      <c r="J42" s="17"/>
      <c r="K42" s="17"/>
      <c r="L42" s="17"/>
      <c r="M42" s="17"/>
      <c r="N42" s="13"/>
      <c r="O42" s="32"/>
      <c r="P42" s="29"/>
    </row>
    <row r="43" spans="1:16" x14ac:dyDescent="0.2">
      <c r="A43" s="57">
        <v>24</v>
      </c>
      <c r="B43" s="17"/>
      <c r="C43" s="17"/>
      <c r="D43" s="17"/>
      <c r="E43" s="57" t="str">
        <f t="shared" si="1"/>
        <v>-</v>
      </c>
      <c r="F43" s="17"/>
      <c r="G43" s="13"/>
      <c r="H43" s="17"/>
      <c r="I43" s="28"/>
      <c r="J43" s="17"/>
      <c r="K43" s="17"/>
      <c r="L43" s="17"/>
      <c r="M43" s="17"/>
      <c r="N43" s="13"/>
      <c r="O43" s="32"/>
      <c r="P43" s="29"/>
    </row>
    <row r="44" spans="1:16" x14ac:dyDescent="0.2">
      <c r="A44" s="57">
        <v>25</v>
      </c>
      <c r="B44" s="17"/>
      <c r="C44" s="17"/>
      <c r="D44" s="17"/>
      <c r="E44" s="57" t="str">
        <f t="shared" si="1"/>
        <v>-</v>
      </c>
      <c r="F44" s="17"/>
      <c r="G44" s="13"/>
      <c r="H44" s="17"/>
      <c r="I44" s="28"/>
      <c r="J44" s="17"/>
      <c r="K44" s="17"/>
      <c r="L44" s="17"/>
      <c r="M44" s="17"/>
      <c r="N44" s="13"/>
      <c r="O44" s="32"/>
      <c r="P44" s="29"/>
    </row>
    <row r="45" spans="1:16" x14ac:dyDescent="0.2">
      <c r="A45" s="57">
        <v>26</v>
      </c>
      <c r="B45" s="17"/>
      <c r="C45" s="17"/>
      <c r="D45" s="17"/>
      <c r="E45" s="57" t="str">
        <f t="shared" si="1"/>
        <v>-</v>
      </c>
      <c r="F45" s="17"/>
      <c r="G45" s="13"/>
      <c r="H45" s="17"/>
      <c r="I45" s="28"/>
      <c r="J45" s="17"/>
      <c r="K45" s="17"/>
      <c r="L45" s="17"/>
      <c r="M45" s="17"/>
      <c r="N45" s="13"/>
      <c r="O45" s="32"/>
      <c r="P45" s="29"/>
    </row>
    <row r="46" spans="1:16" x14ac:dyDescent="0.2">
      <c r="A46" s="57">
        <v>27</v>
      </c>
      <c r="B46" s="17"/>
      <c r="C46" s="17"/>
      <c r="D46" s="17"/>
      <c r="E46" s="57" t="str">
        <f t="shared" si="1"/>
        <v>-</v>
      </c>
      <c r="F46" s="17"/>
      <c r="G46" s="13"/>
      <c r="H46" s="17"/>
      <c r="I46" s="28"/>
      <c r="J46" s="17"/>
      <c r="K46" s="17"/>
      <c r="L46" s="17"/>
      <c r="M46" s="17"/>
      <c r="N46" s="13"/>
      <c r="O46" s="32"/>
      <c r="P46" s="29"/>
    </row>
    <row r="47" spans="1:16" x14ac:dyDescent="0.2">
      <c r="A47" s="57">
        <v>28</v>
      </c>
      <c r="B47" s="17"/>
      <c r="C47" s="17"/>
      <c r="D47" s="17"/>
      <c r="E47" s="57" t="str">
        <f t="shared" si="1"/>
        <v>-</v>
      </c>
      <c r="F47" s="17"/>
      <c r="G47" s="13"/>
      <c r="H47" s="17"/>
      <c r="I47" s="28"/>
      <c r="J47" s="17"/>
      <c r="K47" s="17"/>
      <c r="L47" s="17"/>
      <c r="M47" s="17"/>
      <c r="N47" s="13"/>
      <c r="O47" s="32"/>
      <c r="P47" s="29"/>
    </row>
    <row r="48" spans="1:16" x14ac:dyDescent="0.2">
      <c r="A48" s="57">
        <v>29</v>
      </c>
      <c r="B48" s="17"/>
      <c r="C48" s="17"/>
      <c r="D48" s="17"/>
      <c r="E48" s="57" t="str">
        <f t="shared" si="1"/>
        <v>-</v>
      </c>
      <c r="F48" s="17"/>
      <c r="G48" s="13"/>
      <c r="H48" s="17"/>
      <c r="I48" s="28"/>
      <c r="J48" s="17"/>
      <c r="K48" s="17"/>
      <c r="L48" s="17"/>
      <c r="M48" s="17"/>
      <c r="N48" s="13"/>
      <c r="O48" s="32"/>
      <c r="P48" s="29"/>
    </row>
    <row r="49" spans="1:16" x14ac:dyDescent="0.2">
      <c r="A49" s="57">
        <v>30</v>
      </c>
      <c r="B49" s="17"/>
      <c r="C49" s="17"/>
      <c r="D49" s="17"/>
      <c r="E49" s="57" t="str">
        <f t="shared" si="1"/>
        <v>-</v>
      </c>
      <c r="F49" s="17"/>
      <c r="G49" s="13"/>
      <c r="H49" s="17"/>
      <c r="I49" s="28"/>
      <c r="J49" s="17"/>
      <c r="K49" s="17"/>
      <c r="L49" s="17"/>
      <c r="M49" s="17"/>
      <c r="N49" s="13"/>
      <c r="O49" s="32"/>
      <c r="P49" s="29"/>
    </row>
    <row r="50" spans="1:16" x14ac:dyDescent="0.2">
      <c r="A50" s="57">
        <v>31</v>
      </c>
      <c r="B50" s="17"/>
      <c r="C50" s="17"/>
      <c r="D50" s="17"/>
      <c r="E50" s="57" t="str">
        <f t="shared" si="1"/>
        <v>-</v>
      </c>
      <c r="F50" s="17"/>
      <c r="G50" s="13"/>
      <c r="H50" s="17"/>
      <c r="I50" s="28"/>
      <c r="J50" s="17"/>
      <c r="K50" s="17"/>
      <c r="L50" s="17"/>
      <c r="M50" s="17"/>
      <c r="N50" s="13"/>
      <c r="O50" s="32"/>
      <c r="P50" s="29"/>
    </row>
    <row r="51" spans="1:16" x14ac:dyDescent="0.2">
      <c r="A51" s="57">
        <v>32</v>
      </c>
      <c r="B51" s="34"/>
      <c r="C51" s="34"/>
      <c r="D51" s="34"/>
      <c r="E51" s="57" t="str">
        <f t="shared" si="1"/>
        <v>-</v>
      </c>
      <c r="F51" s="17"/>
      <c r="G51" s="13"/>
      <c r="H51" s="17"/>
      <c r="I51" s="28"/>
      <c r="J51" s="17"/>
      <c r="K51" s="17"/>
      <c r="L51" s="17"/>
      <c r="M51" s="17"/>
      <c r="N51" s="13"/>
      <c r="O51" s="28"/>
      <c r="P51" s="29"/>
    </row>
    <row r="52" spans="1:16" x14ac:dyDescent="0.2">
      <c r="A52" s="57">
        <v>33</v>
      </c>
      <c r="B52" s="34"/>
      <c r="C52" s="34"/>
      <c r="D52" s="34"/>
      <c r="E52" s="57" t="str">
        <f t="shared" si="1"/>
        <v>-</v>
      </c>
      <c r="F52" s="17"/>
      <c r="G52" s="13"/>
      <c r="H52" s="17"/>
      <c r="I52" s="28"/>
      <c r="J52" s="17"/>
      <c r="K52" s="17"/>
      <c r="L52" s="17"/>
      <c r="M52" s="17"/>
      <c r="N52" s="13"/>
      <c r="O52" s="28"/>
      <c r="P52" s="29"/>
    </row>
    <row r="53" spans="1:16" x14ac:dyDescent="0.2">
      <c r="A53" s="57">
        <v>34</v>
      </c>
      <c r="B53" s="34"/>
      <c r="C53" s="34"/>
      <c r="D53" s="34"/>
      <c r="E53" s="57" t="str">
        <f t="shared" si="1"/>
        <v>-</v>
      </c>
      <c r="F53" s="17"/>
      <c r="G53" s="13"/>
      <c r="H53" s="17"/>
      <c r="I53" s="28"/>
      <c r="J53" s="17"/>
      <c r="K53" s="17"/>
      <c r="L53" s="17"/>
      <c r="M53" s="17"/>
      <c r="N53" s="13"/>
      <c r="O53" s="28"/>
      <c r="P53" s="29"/>
    </row>
    <row r="54" spans="1:16" x14ac:dyDescent="0.2">
      <c r="A54" s="57">
        <v>35</v>
      </c>
      <c r="B54" s="34"/>
      <c r="C54" s="34"/>
      <c r="D54" s="34"/>
      <c r="E54" s="57" t="str">
        <f t="shared" si="1"/>
        <v>-</v>
      </c>
      <c r="F54" s="17"/>
      <c r="J54" s="17"/>
      <c r="K54" s="17"/>
      <c r="L54" s="17"/>
      <c r="M54" s="17"/>
      <c r="N54" s="13"/>
      <c r="O54" s="28"/>
      <c r="P54" s="29"/>
    </row>
    <row r="55" spans="1:16" ht="15.75" customHeight="1" x14ac:dyDescent="0.2">
      <c r="B55" s="35"/>
      <c r="C55" s="35"/>
      <c r="D55" s="35"/>
    </row>
    <row r="56" spans="1:16" ht="20.25" x14ac:dyDescent="0.3">
      <c r="A56" s="36" t="s">
        <v>4</v>
      </c>
      <c r="B56" s="35"/>
      <c r="C56" s="35"/>
      <c r="D56" s="35"/>
    </row>
    <row r="57" spans="1:16" ht="15.75" x14ac:dyDescent="0.25">
      <c r="A57" s="37"/>
      <c r="B57" s="3"/>
      <c r="C57" s="3"/>
      <c r="D57" s="3"/>
    </row>
    <row r="58" spans="1:16" ht="23.25" x14ac:dyDescent="0.35">
      <c r="A58" s="38" t="str">
        <f>E4</f>
        <v>SEE BELOW</v>
      </c>
    </row>
    <row r="59" spans="1:16" x14ac:dyDescent="0.2">
      <c r="E59" s="35"/>
      <c r="G59" s="35"/>
      <c r="H59" s="35"/>
    </row>
    <row r="60" spans="1:16" ht="23.25" x14ac:dyDescent="0.35">
      <c r="B60" s="39"/>
      <c r="C60" s="35"/>
      <c r="D60" s="35"/>
      <c r="F60" s="35"/>
    </row>
    <row r="61" spans="1:16" ht="23.25" x14ac:dyDescent="0.35">
      <c r="A61" s="39" t="s">
        <v>24</v>
      </c>
    </row>
    <row r="63" spans="1:16" ht="13.5" thickBot="1" x14ac:dyDescent="0.25"/>
    <row r="64" spans="1:16" ht="13.5" thickBot="1" x14ac:dyDescent="0.25">
      <c r="E64" s="40"/>
    </row>
    <row r="65" spans="1:6" ht="13.5" thickBot="1" x14ac:dyDescent="0.25">
      <c r="B65" s="40"/>
      <c r="C65" s="40"/>
      <c r="D65" s="60"/>
      <c r="E65" s="21" t="s">
        <v>9</v>
      </c>
      <c r="F65" s="41"/>
    </row>
    <row r="66" spans="1:6" x14ac:dyDescent="0.2">
      <c r="A66" s="40"/>
      <c r="B66" s="21" t="s">
        <v>6</v>
      </c>
      <c r="C66" s="21" t="s">
        <v>7</v>
      </c>
      <c r="D66" s="61"/>
      <c r="E66" s="24">
        <f>INDEX($A$20:$J$54,$A67,4)</f>
        <v>98926995</v>
      </c>
      <c r="F66" s="20" t="s">
        <v>8</v>
      </c>
    </row>
    <row r="67" spans="1:6" ht="15.75" thickBot="1" x14ac:dyDescent="0.25">
      <c r="A67" s="12">
        <v>1</v>
      </c>
      <c r="B67" s="22" t="str">
        <f>INDEX($A$20:$J$54,$A67,2)</f>
        <v>PM0309WM-42</v>
      </c>
      <c r="C67" s="23" t="str">
        <f>INDEX($A$20:$J$54,$A67,3)</f>
        <v>H05</v>
      </c>
      <c r="D67" s="62"/>
      <c r="E67" s="42"/>
      <c r="F67" s="22">
        <f>INDEX($A$20:$J$54,$A67,9)</f>
        <v>0</v>
      </c>
    </row>
    <row r="68" spans="1:6" ht="15.75" x14ac:dyDescent="0.25">
      <c r="A68" s="43"/>
      <c r="B68" s="44"/>
      <c r="C68" s="44"/>
      <c r="D68" s="44"/>
      <c r="E68" s="6"/>
      <c r="F68" s="45"/>
    </row>
    <row r="69" spans="1:6" ht="15.75" x14ac:dyDescent="0.25">
      <c r="A69" s="46"/>
      <c r="B69" s="47" t="s">
        <v>25</v>
      </c>
      <c r="C69" s="47"/>
      <c r="D69" s="47"/>
      <c r="E69" s="6"/>
      <c r="F69" s="48"/>
    </row>
    <row r="70" spans="1:6" ht="15.75" x14ac:dyDescent="0.25">
      <c r="A70" s="46"/>
      <c r="B70" s="47" t="s">
        <v>26</v>
      </c>
      <c r="C70" s="47"/>
      <c r="D70" s="47"/>
      <c r="E70" s="7"/>
      <c r="F70" s="48"/>
    </row>
    <row r="71" spans="1:6" ht="15.75" x14ac:dyDescent="0.25">
      <c r="A71" s="46"/>
      <c r="B71" s="47" t="s">
        <v>27</v>
      </c>
      <c r="C71" s="47"/>
      <c r="D71" s="47"/>
      <c r="E71" s="8"/>
      <c r="F71" s="48"/>
    </row>
    <row r="72" spans="1:6" ht="15.75" x14ac:dyDescent="0.25">
      <c r="A72" s="46"/>
      <c r="B72" s="47" t="s">
        <v>28</v>
      </c>
      <c r="C72" s="47"/>
      <c r="D72" s="47"/>
      <c r="E72" s="49"/>
      <c r="F72" s="48"/>
    </row>
    <row r="73" spans="1:6" ht="15.75" x14ac:dyDescent="0.25">
      <c r="A73" s="46"/>
      <c r="B73" s="50" t="str">
        <f>$E$5</f>
        <v>SEE BELOW</v>
      </c>
      <c r="C73" s="7"/>
      <c r="D73" s="7"/>
      <c r="E73" s="49"/>
      <c r="F73" s="48"/>
    </row>
    <row r="74" spans="1:6" ht="15.75" x14ac:dyDescent="0.25">
      <c r="A74" s="46"/>
      <c r="B74" s="50" t="str">
        <f>"SKU#: "&amp;INDEX($A$20:$J$54,A67,8)</f>
        <v>SKU#:  6P DERM RZR</v>
      </c>
      <c r="E74" s="49"/>
      <c r="F74" s="48"/>
    </row>
    <row r="75" spans="1:6" ht="15.75" x14ac:dyDescent="0.25">
      <c r="A75" s="46"/>
      <c r="B75" s="51" t="e">
        <f>"DEPT#: "&amp;TEXT(#REF!,"000")</f>
        <v>#REF!</v>
      </c>
      <c r="C75" s="7"/>
      <c r="D75" s="7"/>
      <c r="E75" s="49"/>
      <c r="F75" s="48"/>
    </row>
    <row r="76" spans="1:6" ht="15.75" x14ac:dyDescent="0.25">
      <c r="A76" s="46"/>
      <c r="B76" s="50" t="s">
        <v>11</v>
      </c>
      <c r="C76" s="47" t="str">
        <f>INDEX($A$20:$J$54,A67,5)&amp;"/"&amp;INDEX($A$20:$J$54,A67,6)</f>
        <v>PM0309WM-42-H05/ PM0309WM-42</v>
      </c>
      <c r="D76" s="47"/>
      <c r="E76" s="49"/>
      <c r="F76" s="48"/>
    </row>
    <row r="77" spans="1:6" ht="15.75" x14ac:dyDescent="0.25">
      <c r="A77" s="46"/>
      <c r="B77" s="50" t="s">
        <v>12</v>
      </c>
      <c r="C77" s="47" t="str">
        <f>INDEX($A$20:$I20,A67,7)</f>
        <v>No Color</v>
      </c>
      <c r="D77" s="47"/>
      <c r="E77" s="49"/>
      <c r="F77" s="48"/>
    </row>
    <row r="78" spans="1:6" ht="15.75" x14ac:dyDescent="0.25">
      <c r="A78" s="46"/>
      <c r="B78" s="50" t="s">
        <v>19</v>
      </c>
      <c r="C78" s="47"/>
      <c r="D78" s="47"/>
      <c r="E78" s="49"/>
      <c r="F78" s="48"/>
    </row>
    <row r="79" spans="1:6" ht="16.5" thickBot="1" x14ac:dyDescent="0.3">
      <c r="A79" s="46"/>
      <c r="B79" s="50" t="s">
        <v>13</v>
      </c>
      <c r="C79" s="47"/>
      <c r="D79" s="47"/>
      <c r="E79" s="52"/>
      <c r="F79" s="48"/>
    </row>
    <row r="80" spans="1:6" ht="13.5" thickBot="1" x14ac:dyDescent="0.25">
      <c r="A80" s="46"/>
      <c r="B80" s="53"/>
      <c r="C80" s="53"/>
      <c r="D80" s="63"/>
      <c r="F80" s="4"/>
    </row>
    <row r="81" spans="1:1" ht="13.5" thickBot="1" x14ac:dyDescent="0.25">
      <c r="A81" s="54"/>
    </row>
  </sheetData>
  <mergeCells count="2">
    <mergeCell ref="F2:H2"/>
    <mergeCell ref="C7:E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142875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142875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A19" sqref="A19"/>
    </sheetView>
  </sheetViews>
  <sheetFormatPr baseColWidth="10" defaultColWidth="8.85546875" defaultRowHeight="12.75" x14ac:dyDescent="0.2"/>
  <cols>
    <col min="1" max="1" width="22.28515625" customWidth="1"/>
    <col min="2" max="2" width="19.140625" customWidth="1"/>
    <col min="3" max="3" width="18.28515625" style="18" customWidth="1"/>
    <col min="4" max="4" width="29.140625" style="18" customWidth="1"/>
  </cols>
  <sheetData>
    <row r="1" spans="1:6" x14ac:dyDescent="0.2">
      <c r="A1" s="14" t="s">
        <v>15</v>
      </c>
      <c r="B1" s="14" t="s">
        <v>29</v>
      </c>
      <c r="C1" s="14" t="s">
        <v>30</v>
      </c>
      <c r="D1" s="14" t="s">
        <v>41</v>
      </c>
      <c r="E1" s="31" t="s">
        <v>35</v>
      </c>
      <c r="F1" s="31" t="s">
        <v>42</v>
      </c>
    </row>
    <row r="2" spans="1:6" x14ac:dyDescent="0.2">
      <c r="A2" s="13" t="s">
        <v>43</v>
      </c>
      <c r="B2" s="15">
        <v>300663175498</v>
      </c>
      <c r="C2" s="17">
        <v>66317549</v>
      </c>
      <c r="D2" s="17">
        <v>5</v>
      </c>
    </row>
    <row r="3" spans="1:6" x14ac:dyDescent="0.2">
      <c r="A3" s="13" t="s">
        <v>43</v>
      </c>
      <c r="B3" s="15">
        <v>300663175511</v>
      </c>
      <c r="C3" s="17">
        <v>66317551</v>
      </c>
      <c r="D3" s="17">
        <v>6</v>
      </c>
    </row>
    <row r="4" spans="1:6" x14ac:dyDescent="0.2">
      <c r="A4" s="13" t="s">
        <v>43</v>
      </c>
      <c r="B4" s="15">
        <v>300663175634</v>
      </c>
      <c r="C4" s="17">
        <v>66317563</v>
      </c>
      <c r="D4" s="17">
        <v>7</v>
      </c>
    </row>
    <row r="5" spans="1:6" x14ac:dyDescent="0.2">
      <c r="A5" s="13" t="s">
        <v>43</v>
      </c>
      <c r="B5" s="15">
        <v>300663175764</v>
      </c>
      <c r="C5" s="17">
        <v>66317576</v>
      </c>
      <c r="D5" s="13">
        <v>8</v>
      </c>
    </row>
    <row r="6" spans="1:6" x14ac:dyDescent="0.2">
      <c r="A6" s="13" t="s">
        <v>43</v>
      </c>
      <c r="B6" s="15">
        <v>300663175887</v>
      </c>
      <c r="C6" s="17">
        <v>66317588</v>
      </c>
      <c r="D6" s="13">
        <v>9</v>
      </c>
    </row>
    <row r="7" spans="1:6" x14ac:dyDescent="0.2">
      <c r="A7" s="13" t="s">
        <v>43</v>
      </c>
      <c r="B7" s="64">
        <v>300663175900</v>
      </c>
      <c r="C7" s="15">
        <v>66317590</v>
      </c>
      <c r="D7" s="13">
        <v>10</v>
      </c>
    </row>
    <row r="8" spans="1:6" x14ac:dyDescent="0.2">
      <c r="A8" s="13"/>
      <c r="B8" s="15"/>
      <c r="C8" s="17"/>
      <c r="D8" s="19"/>
    </row>
    <row r="9" spans="1:6" x14ac:dyDescent="0.2">
      <c r="A9" s="13"/>
      <c r="B9" s="15"/>
      <c r="C9" s="17"/>
      <c r="D9" s="19"/>
    </row>
    <row r="10" spans="1:6" x14ac:dyDescent="0.2">
      <c r="A10" s="13"/>
      <c r="B10" s="15"/>
      <c r="C10" s="17"/>
      <c r="D10" s="19"/>
    </row>
    <row r="11" spans="1:6" x14ac:dyDescent="0.2">
      <c r="A11" s="13"/>
      <c r="B11" s="15"/>
      <c r="C11" s="17"/>
      <c r="D11" s="19"/>
    </row>
    <row r="12" spans="1:6" x14ac:dyDescent="0.2">
      <c r="A12" s="13"/>
      <c r="B12" s="15"/>
      <c r="D12" s="19"/>
    </row>
    <row r="13" spans="1:6" x14ac:dyDescent="0.2">
      <c r="A13" s="13"/>
      <c r="B13" s="15"/>
      <c r="C13" s="17"/>
      <c r="D13" s="19"/>
    </row>
    <row r="14" spans="1:6" x14ac:dyDescent="0.2">
      <c r="A14" s="13"/>
      <c r="B14" s="15"/>
      <c r="C14" s="17"/>
      <c r="D14" s="19"/>
    </row>
    <row r="15" spans="1:6" x14ac:dyDescent="0.2">
      <c r="A15" s="13"/>
      <c r="B15" s="15"/>
      <c r="C15" s="17"/>
      <c r="D15" s="19"/>
    </row>
    <row r="16" spans="1:6" x14ac:dyDescent="0.2">
      <c r="A16" s="13"/>
      <c r="B16" s="15"/>
      <c r="C16" s="17"/>
      <c r="D16" s="15"/>
    </row>
    <row r="17" spans="1:4" x14ac:dyDescent="0.2">
      <c r="A17" s="13"/>
      <c r="B17" s="15"/>
      <c r="C17" s="17"/>
      <c r="D17" s="15"/>
    </row>
    <row r="20" spans="1:4" x14ac:dyDescent="0.2">
      <c r="B20" s="16"/>
    </row>
    <row r="21" spans="1:4" x14ac:dyDescent="0.2">
      <c r="B21" s="16"/>
    </row>
    <row r="22" spans="1:4" x14ac:dyDescent="0.2">
      <c r="B22" s="16"/>
    </row>
    <row r="23" spans="1:4" x14ac:dyDescent="0.2">
      <c r="B23" s="16"/>
    </row>
    <row r="24" spans="1:4" x14ac:dyDescent="0.2">
      <c r="B24" s="16"/>
    </row>
    <row r="25" spans="1:4" x14ac:dyDescent="0.2">
      <c r="B25" s="16"/>
    </row>
    <row r="26" spans="1:4" x14ac:dyDescent="0.2">
      <c r="B26" s="1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696130-b52b-478f-9643-8a1878da27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78E8416D05B439A5DC969EB1907EA" ma:contentTypeVersion="9" ma:contentTypeDescription="Create a new document." ma:contentTypeScope="" ma:versionID="82c02b7da263599e6dd07aa78014f53d">
  <xsd:schema xmlns:xsd="http://www.w3.org/2001/XMLSchema" xmlns:xs="http://www.w3.org/2001/XMLSchema" xmlns:p="http://schemas.microsoft.com/office/2006/metadata/properties" xmlns:ns3="13696130-b52b-478f-9643-8a1878da272b" xmlns:ns4="94e0c072-6c35-4a02-af0d-30b0027921c9" targetNamespace="http://schemas.microsoft.com/office/2006/metadata/properties" ma:root="true" ma:fieldsID="f212b61f61398a815143036faef71e53" ns3:_="" ns4:_="">
    <xsd:import namespace="13696130-b52b-478f-9643-8a1878da272b"/>
    <xsd:import namespace="94e0c072-6c35-4a02-af0d-30b0027921c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96130-b52b-478f-9643-8a1878da272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c072-6c35-4a02-af0d-30b0027921c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13696130-b52b-478f-9643-8a1878da272b"/>
    <ds:schemaRef ds:uri="http://schemas.microsoft.com/office/2006/documentManagement/types"/>
    <ds:schemaRef ds:uri="http://purl.org/dc/elements/1.1/"/>
    <ds:schemaRef ds:uri="94e0c072-6c35-4a02-af0d-30b0027921c9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703A15E-C0F8-4409-8F62-E6990DDB70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696130-b52b-478f-9643-8a1878da272b"/>
    <ds:schemaRef ds:uri="94e0c072-6c35-4a02-af0d-30b0027921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2025-01-13T20:00:44Z</cp:lastPrinted>
  <dcterms:created xsi:type="dcterms:W3CDTF">2008-06-06T20:54:57Z</dcterms:created>
  <dcterms:modified xsi:type="dcterms:W3CDTF">2026-05-15T00:16:22Z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0x010100D1C78E8416D05B439A5DC969EB1907EA</vt:lpwstr>
  </property>
</Properties>
</file>