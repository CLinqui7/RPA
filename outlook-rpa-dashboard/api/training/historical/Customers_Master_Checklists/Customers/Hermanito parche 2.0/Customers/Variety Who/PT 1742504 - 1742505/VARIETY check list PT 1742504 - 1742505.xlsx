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Variety Who/PT/"/>
    </mc:Choice>
  </mc:AlternateContent>
  <xr:revisionPtr revIDLastSave="28" documentId="13_ncr:1_{560A6FEF-64F0-4601-B075-1AEA0FA8662C}" xr6:coauthVersionLast="47" xr6:coauthVersionMax="47" xr10:uidLastSave="{7D601072-87B6-4B7B-A576-1FFFDCDA4C6E}"/>
  <bookViews>
    <workbookView minimized="1" xWindow="1370" yWindow="510" windowWidth="14400" windowHeight="72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C31" i="1"/>
  <c r="C32" i="1"/>
  <c r="C33" i="1"/>
  <c r="C34" i="1"/>
  <c r="C35" i="1"/>
  <c r="C36" i="1"/>
  <c r="C37" i="1"/>
  <c r="C26" i="1"/>
  <c r="F53" i="1"/>
  <c r="B17" i="1"/>
  <c r="D17" i="1" s="1"/>
  <c r="E53" i="1"/>
</calcChain>
</file>

<file path=xl/sharedStrings.xml><?xml version="1.0" encoding="utf-8"?>
<sst xmlns="http://schemas.openxmlformats.org/spreadsheetml/2006/main" count="64" uniqueCount="48">
  <si>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</si>
  <si>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</si>
  <si>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</si>
  <si>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</si>
  <si>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</si>
  <si>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</si>
  <si>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</si>
  <si>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</si>
  <si>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</si>
  <si>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</si>
  <si>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</si>
  <si>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</si>
  <si>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</si>
  <si>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</si>
  <si>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</si>
  <si>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</si>
  <si>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</si>
  <si>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</si>
  <si>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</si>
  <si>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</si>
  <si>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</si>
  <si>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</si>
  <si>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</si>
  <si>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</si>
  <si>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</si>
  <si>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</si>
  <si>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</si>
  <si>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</si>
  <si>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</si>
  <si>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</si>
  <si>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</si>
  <si>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</si>
  <si>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</si>
  <si>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PACKING BY 12</t>
  </si>
  <si>
    <t>PO# 2</t>
  </si>
  <si>
    <t>PT# 1742504 - 1742505</t>
  </si>
  <si>
    <t>118MAC201M</t>
  </si>
  <si>
    <t>118MAC202M</t>
  </si>
  <si>
    <t>118MAC203M</t>
  </si>
  <si>
    <t>118MAC204M</t>
  </si>
  <si>
    <t>118MAC308M</t>
  </si>
  <si>
    <t>118MAC324M</t>
  </si>
  <si>
    <t>RDA</t>
  </si>
  <si>
    <t>BKA</t>
  </si>
  <si>
    <t>NVA</t>
  </si>
  <si>
    <t>BEA</t>
  </si>
  <si>
    <t>BCB</t>
  </si>
  <si>
    <t>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</si>
</sst>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0" fontId="26" fillId="0" borderId="14" xfId="0" applyFont="1" applyBorder="1"/>
    <xf numFmtId="0" fontId="26" fillId="0" borderId="0" xfId="0" applyFont="1"/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4" fillId="0" borderId="0" xfId="0" applyFont="1" applyAlignment="1">
      <alignment horizontal="left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topLeftCell="A2" zoomScale="98" zoomScaleNormal="98" workbookViewId="0">
      <selection activeCell="F27" sqref="F27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56" t="s">
        <v>29</v>
      </c>
      <c r="C1" s="57"/>
      <c r="D1" s="58"/>
    </row>
    <row r="3" spans="1:8" ht="21" customHeight="1" x14ac:dyDescent="0.4">
      <c r="A3" s="1" t="s">
        <v>0</v>
      </c>
      <c r="C3" s="39" t="s">
        <v>35</v>
      </c>
      <c r="E3" s="12"/>
      <c r="F3" s="12"/>
    </row>
    <row r="4" spans="1:8" ht="14" x14ac:dyDescent="0.25">
      <c r="C4" s="39" t="s">
        <v>34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8"/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54" t="s">
        <v>32</v>
      </c>
      <c r="C13" s="54"/>
      <c r="D13" s="55"/>
      <c r="E13" s="12"/>
    </row>
    <row r="14" spans="1:8" ht="37.5" x14ac:dyDescent="0.25">
      <c r="A14" s="59" t="s">
        <v>11</v>
      </c>
      <c r="B14" s="60"/>
      <c r="C14" s="59" t="s">
        <v>24</v>
      </c>
      <c r="D14" s="60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6" t="str">
        <f>C4</f>
        <v>PO# 2</v>
      </c>
      <c r="C17" s="2" t="s">
        <v>26</v>
      </c>
      <c r="D17" s="46" t="str">
        <f>B17</f>
        <v>PO# 2</v>
      </c>
      <c r="E17" s="12"/>
    </row>
    <row r="18" spans="1:7" ht="15.75" customHeight="1" x14ac:dyDescent="0.3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52" t="s">
        <v>17</v>
      </c>
      <c r="B23" s="52"/>
      <c r="C23" s="52"/>
      <c r="D23" s="52"/>
      <c r="E23" s="12"/>
      <c r="F23" s="12"/>
    </row>
    <row r="24" spans="1:7" ht="24" customHeight="1" x14ac:dyDescent="0.25">
      <c r="A24" s="53"/>
      <c r="B24" s="53"/>
      <c r="C24" s="53"/>
      <c r="D24" s="53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9" customFormat="1" ht="14.5" x14ac:dyDescent="0.35">
      <c r="A26" s="51" t="s">
        <v>36</v>
      </c>
      <c r="B26" s="51" t="s">
        <v>42</v>
      </c>
      <c r="C26" s="51" t="str">
        <f>A26&amp;"-"&amp;B26</f>
        <v>118MAC201M-RDA</v>
      </c>
      <c r="D26" s="61">
        <v>236588</v>
      </c>
      <c r="E26">
        <v>300</v>
      </c>
      <c r="F26" s="36">
        <v>300</v>
      </c>
      <c r="G26" s="35" t="s">
        <v>33</v>
      </c>
    </row>
    <row r="27" spans="1:7" s="49" customFormat="1" ht="14.5" x14ac:dyDescent="0.35">
      <c r="A27" s="50" t="s">
        <v>37</v>
      </c>
      <c r="B27" s="51" t="s">
        <v>43</v>
      </c>
      <c r="C27" s="51" t="str">
        <f t="shared" ref="C27:C37" si="0">A27&amp;"-"&amp;B27</f>
        <v>118MAC202M-BKA</v>
      </c>
      <c r="D27" s="61">
        <v>236589</v>
      </c>
      <c r="E27">
        <v>300</v>
      </c>
      <c r="F27" s="45"/>
      <c r="G27" s="35"/>
    </row>
    <row r="28" spans="1:7" s="49" customFormat="1" ht="14.5" x14ac:dyDescent="0.35">
      <c r="A28" s="51" t="s">
        <v>38</v>
      </c>
      <c r="B28" s="51" t="s">
        <v>44</v>
      </c>
      <c r="C28" s="51" t="str">
        <f t="shared" si="0"/>
        <v>118MAC203M-NVA</v>
      </c>
      <c r="D28" s="61">
        <v>236590</v>
      </c>
      <c r="E28">
        <v>300</v>
      </c>
      <c r="F28" s="45"/>
      <c r="G28" s="35"/>
    </row>
    <row r="29" spans="1:7" s="49" customFormat="1" ht="14.5" x14ac:dyDescent="0.35">
      <c r="A29" s="50" t="s">
        <v>39</v>
      </c>
      <c r="B29" s="51" t="s">
        <v>45</v>
      </c>
      <c r="C29" s="51" t="str">
        <f t="shared" si="0"/>
        <v>118MAC204M-BEA</v>
      </c>
      <c r="D29" s="61">
        <v>236591</v>
      </c>
      <c r="E29">
        <v>300</v>
      </c>
      <c r="F29" s="45"/>
      <c r="G29" s="35"/>
    </row>
    <row r="30" spans="1:7" ht="14.5" x14ac:dyDescent="0.35">
      <c r="A30" s="51" t="s">
        <v>40</v>
      </c>
      <c r="B30" s="51" t="s">
        <v>46</v>
      </c>
      <c r="C30" s="51" t="str">
        <f t="shared" si="0"/>
        <v>118MAC308M-BCB</v>
      </c>
      <c r="D30" s="61">
        <v>236592</v>
      </c>
      <c r="E30">
        <v>300</v>
      </c>
      <c r="F30" s="36"/>
      <c r="G30" s="35"/>
    </row>
    <row r="31" spans="1:7" ht="14.5" x14ac:dyDescent="0.35">
      <c r="A31" s="51" t="s">
        <v>41</v>
      </c>
      <c r="B31" s="51" t="s">
        <v>47</v>
      </c>
      <c r="C31" s="51" t="str">
        <f t="shared" si="0"/>
        <v>118MAC324M-OBA</v>
      </c>
      <c r="D31" s="61">
        <v>236593</v>
      </c>
      <c r="E31">
        <v>300</v>
      </c>
      <c r="F31" s="36"/>
      <c r="G31" s="35"/>
    </row>
    <row r="32" spans="1:7" ht="14.5" x14ac:dyDescent="0.35">
      <c r="A32" s="51" t="s">
        <v>36</v>
      </c>
      <c r="B32" s="51" t="s">
        <v>42</v>
      </c>
      <c r="C32" s="51" t="str">
        <f t="shared" si="0"/>
        <v>118MAC201M-RDA</v>
      </c>
      <c r="D32" s="61">
        <v>236588</v>
      </c>
      <c r="E32">
        <v>300</v>
      </c>
      <c r="F32" s="36"/>
      <c r="G32" s="35"/>
    </row>
    <row r="33" spans="1:7" ht="14.5" x14ac:dyDescent="0.35">
      <c r="A33" s="50" t="s">
        <v>37</v>
      </c>
      <c r="B33" s="51" t="s">
        <v>43</v>
      </c>
      <c r="C33" s="51" t="str">
        <f t="shared" si="0"/>
        <v>118MAC202M-BKA</v>
      </c>
      <c r="D33" s="61">
        <v>236589</v>
      </c>
      <c r="E33">
        <v>300</v>
      </c>
      <c r="F33" s="36"/>
      <c r="G33" s="35"/>
    </row>
    <row r="34" spans="1:7" ht="14.5" x14ac:dyDescent="0.35">
      <c r="A34" s="51" t="s">
        <v>38</v>
      </c>
      <c r="B34" s="51" t="s">
        <v>44</v>
      </c>
      <c r="C34" s="51" t="str">
        <f t="shared" si="0"/>
        <v>118MAC203M-NVA</v>
      </c>
      <c r="D34" s="61">
        <v>236590</v>
      </c>
      <c r="E34">
        <v>300</v>
      </c>
      <c r="F34" s="36"/>
      <c r="G34" s="35"/>
    </row>
    <row r="35" spans="1:7" ht="14.5" x14ac:dyDescent="0.35">
      <c r="A35" s="50" t="s">
        <v>39</v>
      </c>
      <c r="B35" s="51" t="s">
        <v>45</v>
      </c>
      <c r="C35" s="51" t="str">
        <f t="shared" si="0"/>
        <v>118MAC204M-BEA</v>
      </c>
      <c r="D35" s="61">
        <v>236591</v>
      </c>
      <c r="E35">
        <v>300</v>
      </c>
      <c r="F35" s="36"/>
      <c r="G35" s="35"/>
    </row>
    <row r="36" spans="1:7" ht="14.5" x14ac:dyDescent="0.35">
      <c r="A36" s="51" t="s">
        <v>40</v>
      </c>
      <c r="B36" s="51" t="s">
        <v>46</v>
      </c>
      <c r="C36" s="51" t="str">
        <f t="shared" si="0"/>
        <v>118MAC308M-BCB</v>
      </c>
      <c r="D36" s="61">
        <v>236592</v>
      </c>
      <c r="E36">
        <v>300</v>
      </c>
      <c r="F36" s="36"/>
      <c r="G36" s="35"/>
    </row>
    <row r="37" spans="1:7" ht="14.5" x14ac:dyDescent="0.35">
      <c r="A37" t="s">
        <v>41</v>
      </c>
      <c r="B37" t="s">
        <v>47</v>
      </c>
      <c r="C37" s="51" t="str">
        <f t="shared" si="0"/>
        <v>118MAC324M-OBA</v>
      </c>
      <c r="D37" s="61">
        <v>236593</v>
      </c>
      <c r="E37">
        <v>300</v>
      </c>
    </row>
    <row r="38" spans="1:7" ht="14.5" x14ac:dyDescent="0.35">
      <c r="A38" s="51"/>
      <c r="B38" s="51"/>
      <c r="C38" s="51"/>
      <c r="D38" s="20"/>
      <c r="F38" s="36"/>
      <c r="G38" s="35"/>
    </row>
    <row r="39" spans="1:7" ht="14.5" x14ac:dyDescent="0.35">
      <c r="A39" s="50"/>
      <c r="B39" s="51"/>
      <c r="C39" s="51"/>
      <c r="D39" s="20"/>
      <c r="F39" s="36"/>
      <c r="G39" s="35"/>
    </row>
    <row r="40" spans="1:7" x14ac:dyDescent="0.25">
      <c r="A40" s="45"/>
      <c r="B40" s="45"/>
      <c r="C40" s="35"/>
      <c r="D40" s="46"/>
      <c r="E40" s="45"/>
      <c r="F40" s="36"/>
      <c r="G40" s="35"/>
    </row>
    <row r="41" spans="1:7" x14ac:dyDescent="0.25">
      <c r="A41" s="45"/>
      <c r="B41" s="45"/>
      <c r="C41" s="35"/>
      <c r="D41" s="46"/>
      <c r="E41" s="45"/>
      <c r="F41" s="36"/>
      <c r="G41" s="35"/>
    </row>
    <row r="42" spans="1:7" x14ac:dyDescent="0.25">
      <c r="A42" s="45"/>
      <c r="B42" s="45"/>
      <c r="C42" s="35"/>
      <c r="D42" s="46"/>
      <c r="E42" s="45"/>
      <c r="F42" s="36"/>
      <c r="G42" s="35"/>
    </row>
    <row r="43" spans="1:7" x14ac:dyDescent="0.25">
      <c r="A43" s="45"/>
      <c r="B43" s="45"/>
      <c r="C43" s="35"/>
      <c r="D43" s="46"/>
      <c r="E43" s="45"/>
      <c r="F43" s="36"/>
      <c r="G43" s="35"/>
    </row>
    <row r="44" spans="1:7" x14ac:dyDescent="0.25">
      <c r="A44" s="45"/>
      <c r="B44" s="45"/>
      <c r="C44" s="35"/>
      <c r="D44" s="46"/>
      <c r="E44" s="45"/>
      <c r="F44" s="36"/>
      <c r="G44" s="35"/>
    </row>
    <row r="45" spans="1:7" x14ac:dyDescent="0.25">
      <c r="A45" s="45"/>
      <c r="B45" s="45"/>
      <c r="C45" s="35"/>
      <c r="D45" s="46"/>
      <c r="E45" s="45"/>
      <c r="F45" s="36"/>
      <c r="G45" s="35"/>
    </row>
    <row r="46" spans="1:7" x14ac:dyDescent="0.25">
      <c r="A46" s="45"/>
      <c r="B46" s="45"/>
      <c r="C46" s="35"/>
      <c r="D46" s="46"/>
      <c r="E46" s="45"/>
      <c r="F46" s="36"/>
      <c r="G46" s="35"/>
    </row>
    <row r="47" spans="1:7" x14ac:dyDescent="0.25">
      <c r="A47" s="45"/>
      <c r="B47" s="45"/>
      <c r="C47" s="35"/>
      <c r="D47" s="46"/>
      <c r="E47" s="45"/>
      <c r="F47" s="36"/>
      <c r="G47" s="35"/>
    </row>
    <row r="48" spans="1:7" x14ac:dyDescent="0.25">
      <c r="A48" s="45"/>
      <c r="B48" s="45"/>
      <c r="C48" s="35"/>
      <c r="D48" s="46"/>
      <c r="E48" s="45"/>
      <c r="F48" s="36"/>
      <c r="G48" s="35"/>
    </row>
    <row r="49" spans="1:7" x14ac:dyDescent="0.25">
      <c r="C49" s="44"/>
      <c r="D49" s="44"/>
      <c r="E49" s="48"/>
      <c r="F49" s="47"/>
      <c r="G49" s="44"/>
    </row>
    <row r="50" spans="1:7" x14ac:dyDescent="0.25">
      <c r="A50" s="33"/>
      <c r="B50" s="33"/>
      <c r="C50" s="33"/>
      <c r="D50" s="33"/>
      <c r="E50" s="33"/>
      <c r="F50" s="36"/>
      <c r="G50" s="33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3600</v>
      </c>
      <c r="F53" s="29">
        <f>SUM(F26:F36)</f>
        <v>300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2026-03-10T15:44:36Z</dcterms:modified>
</cp:coreProperties>
</file>