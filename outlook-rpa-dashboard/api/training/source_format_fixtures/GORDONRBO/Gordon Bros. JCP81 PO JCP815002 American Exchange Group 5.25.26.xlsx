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axnygroup-my.sharepoint.com/personal/karina_zelaya_axnygroup_com/Documents/Desktop/Customers/GORDON BROTHERS/PT/"/>
    </mc:Choice>
  </mc:AlternateContent>
  <xr:revisionPtr revIDLastSave="16" documentId="8_{DF0D5F54-2888-43B7-9FC1-9123C909F5C5}" xr6:coauthVersionLast="47" xr6:coauthVersionMax="47" xr10:uidLastSave="{E45D1419-0C4E-4720-A57E-EFD85EC1E631}"/>
  <bookViews>
    <workbookView xWindow="-110" yWindow="-110" windowWidth="19420" windowHeight="10300" tabRatio="887" firstSheet="5" activeTab="8" xr2:uid="{BF9ED933-A683-42ED-AC37-D0E20A887408}"/>
  </bookViews>
  <sheets>
    <sheet name="PO" sheetId="24" r:id="rId1"/>
    <sheet name="CS Allocation" sheetId="25" r:id="rId2"/>
    <sheet name="PO Compliance" sheetId="21" r:id="rId3"/>
    <sheet name="Ticketing Instructions" sheetId="19" r:id="rId4"/>
    <sheet name="MEGA Logistics Instructions" sheetId="15" r:id="rId5"/>
    <sheet name="Ship to Store List" sheetId="20" r:id="rId6"/>
    <sheet name="Routing Template" sheetId="12" r:id="rId7"/>
    <sheet name="Example Parcel Label" sheetId="11" r:id="rId8"/>
    <sheet name="MerchandisingInvoicing+Example" sheetId="4" r:id="rId9"/>
  </sheets>
  <definedNames>
    <definedName name="_xlnm._FilterDatabase" localSheetId="0" hidden="1">PO!$A$21:$M$21</definedName>
    <definedName name="_xlnm._FilterDatabase" localSheetId="6" hidden="1">'Routing Template'!#REF!</definedName>
    <definedName name="_xlnm._FilterDatabase" localSheetId="5" hidden="1">'Ship to Store List'!$A$2:$XFC$50</definedName>
    <definedName name="_Key1" localSheetId="4" hidden="1">#REF!</definedName>
    <definedName name="_Key1" localSheetId="5" hidden="1">#REF!</definedName>
    <definedName name="_Key1" hidden="1">#REF!</definedName>
    <definedName name="_Key2" localSheetId="4" hidden="1">#REF!</definedName>
    <definedName name="_Key2" hidden="1">#REF!</definedName>
    <definedName name="_Order1" hidden="1">0</definedName>
    <definedName name="_Order2" hidden="1">255</definedName>
    <definedName name="_Sort" localSheetId="4" hidden="1">#REF!</definedName>
    <definedName name="_Sort" localSheetId="5" hidden="1">#REF!</definedName>
    <definedName name="_Sort" hidden="1">#REF!</definedName>
    <definedName name="a" localSheetId="4" hidden="1">#REF!</definedName>
    <definedName name="a" hidden="1">#REF!</definedName>
    <definedName name="abc" hidden="1">#REF!</definedName>
    <definedName name="abcder" localSheetId="4" hidden="1">{#N/A,#N/A,TRUE,"P&amp;L comparatives - summary_per";#N/A,#N/A,TRUE,"P&amp;L comparatives - detail_per"}</definedName>
    <definedName name="abcder" localSheetId="5" hidden="1">{#N/A,#N/A,TRUE,"P&amp;L comparatives - summary_per";#N/A,#N/A,TRUE,"P&amp;L comparatives - detail_per"}</definedName>
    <definedName name="abcder" hidden="1">{#N/A,#N/A,TRUE,"P&amp;L comparatives - summary_per";#N/A,#N/A,TRUE,"P&amp;L comparatives - detail_per"}</definedName>
    <definedName name="acewaea" hidden="1">#REF!</definedName>
    <definedName name="acewavwav" hidden="1">#REF!</definedName>
    <definedName name="b" hidden="1">#REF!</definedName>
    <definedName name="DEF" localSheetId="5" hidden="1">{#N/A,#N/A,TRUE,"P&amp;L comparatives - summary_per";#N/A,#N/A,TRUE,"P&amp;L comparatives - detail_per"}</definedName>
    <definedName name="DEF" hidden="1">{#N/A,#N/A,TRUE,"P&amp;L comparatives - summary_per";#N/A,#N/A,TRUE,"P&amp;L comparatives - detail_per"}</definedName>
    <definedName name="GRLow" hidden="1">#N/A</definedName>
    <definedName name="lll" hidden="1">#N/A</definedName>
    <definedName name="ooo" hidden="1">#N/A</definedName>
    <definedName name="ppp" hidden="1">#N/A</definedName>
    <definedName name="_xlnm.Print_Area" localSheetId="4">'MEGA Logistics Instructions'!$A$1:$J$59</definedName>
    <definedName name="_xlnm.Print_Area" localSheetId="6">'Routing Template'!#REF!</definedName>
    <definedName name="_xlnm.Print_Area" localSheetId="3">'Ticketing Instructions'!$A$1:$H$55</definedName>
    <definedName name="Pursell" hidden="1">#N/A</definedName>
    <definedName name="qqq" hidden="1">#N/A</definedName>
    <definedName name="sdfasdfa" localSheetId="4" hidden="1">#REF!</definedName>
    <definedName name="sdfasdfa" localSheetId="5" hidden="1">#REF!</definedName>
    <definedName name="sdfasdfa" hidden="1">#REF!</definedName>
    <definedName name="Seasonality" hidden="1">#N/A</definedName>
    <definedName name="sss" hidden="1">#N/A</definedName>
    <definedName name="uuu" localSheetId="4" hidden="1">{#N/A,#N/A,FALSE,"summary";#N/A,#N/A,FALSE,"capacity";#N/A,#N/A,FALSE,"liquidation";#N/A,#N/A,FALSE,"assumptions";#N/A,#N/A,FALSE,"stats"}</definedName>
    <definedName name="uuu" localSheetId="5" hidden="1">{#N/A,#N/A,FALSE,"summary";#N/A,#N/A,FALSE,"capacity";#N/A,#N/A,FALSE,"liquidation";#N/A,#N/A,FALSE,"assumptions";#N/A,#N/A,FALSE,"stats"}</definedName>
    <definedName name="uuu" hidden="1">{#N/A,#N/A,FALSE,"summary";#N/A,#N/A,FALSE,"capacity";#N/A,#N/A,FALSE,"liquidation";#N/A,#N/A,FALSE,"assumptions";#N/A,#N/A,FALSE,"stats"}</definedName>
    <definedName name="v" hidden="1">#REF!</definedName>
    <definedName name="vendors" hidden="1">#N/A</definedName>
    <definedName name="wrb" localSheetId="4" hidden="1">{#N/A,#N/A,TRUE,"P&amp;L comparatives - summary_per";#N/A,#N/A,TRUE,"P&amp;L comparatives - detail_per";#N/A,#N/A,TRUE,"P&amp;L comparatives - summary_ytd";#N/A,#N/A,TRUE,"P&amp;L comparatives - detail_ytd"}</definedName>
    <definedName name="wrb" localSheetId="5" hidden="1">{#N/A,#N/A,TRUE,"P&amp;L comparatives - summary_per";#N/A,#N/A,TRUE,"P&amp;L comparatives - detail_per";#N/A,#N/A,TRUE,"P&amp;L comparatives - summary_ytd";#N/A,#N/A,TRUE,"P&amp;L comparatives - detail_ytd"}</definedName>
    <definedName name="wrb" hidden="1">{#N/A,#N/A,TRUE,"P&amp;L comparatives - summary_per";#N/A,#N/A,TRUE,"P&amp;L comparatives - detail_per";#N/A,#N/A,TRUE,"P&amp;L comparatives - summary_ytd";#N/A,#N/A,TRUE,"P&amp;L comparatives - detail_ytd"}</definedName>
    <definedName name="wrn.abc" localSheetId="4" hidden="1">{#N/A,#N/A,TRUE,"P&amp;L comparatives - summary_qtr";#N/A,#N/A,TRUE,"P&amp;L comparatives - detail_qtr"}</definedName>
    <definedName name="wrn.abc" localSheetId="5" hidden="1">{#N/A,#N/A,TRUE,"P&amp;L comparatives - summary_qtr";#N/A,#N/A,TRUE,"P&amp;L comparatives - detail_qtr"}</definedName>
    <definedName name="wrn.abc" hidden="1">{#N/A,#N/A,TRUE,"P&amp;L comparatives - summary_qtr";#N/A,#N/A,TRUE,"P&amp;L comparatives - detail_qtr"}</definedName>
    <definedName name="wrn.Bank._.Book." localSheetId="4"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localSheetId="5"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comp" localSheetId="4" hidden="1">{#N/A,#N/A,FALSE,"bs comparative"}</definedName>
    <definedName name="wrn.comp" localSheetId="5" hidden="1">{#N/A,#N/A,FALSE,"bs comparative"}</definedName>
    <definedName name="wrn.comp" hidden="1">{#N/A,#N/A,FALSE,"bs comparative"}</definedName>
    <definedName name="wrn.Comparative." localSheetId="4" hidden="1">{#N/A,#N/A,FALSE,"bs comparative"}</definedName>
    <definedName name="wrn.Comparative." localSheetId="5" hidden="1">{#N/A,#N/A,FALSE,"bs comparative"}</definedName>
    <definedName name="wrn.Comparative." hidden="1">{#N/A,#N/A,FALSE,"bs comparative"}</definedName>
    <definedName name="wrn.Comparatives." localSheetId="4" hidden="1">{#N/A,#N/A,TRUE,"P&amp;L comparatives - summary_per";#N/A,#N/A,TRUE,"P&amp;L comparatives - detail_per";#N/A,#N/A,TRUE,"P&amp;L comparatives - summary_ytd";#N/A,#N/A,TRUE,"P&amp;L comparatives - detail_ytd"}</definedName>
    <definedName name="wrn.Comparatives." localSheetId="5" hidden="1">{#N/A,#N/A,TRUE,"P&amp;L comparatives - summary_per";#N/A,#N/A,TRUE,"P&amp;L comparatives - detail_per";#N/A,#N/A,TRUE,"P&amp;L comparatives - summary_ytd";#N/A,#N/A,TRUE,"P&amp;L comparatives - detail_ytd"}</definedName>
    <definedName name="wrn.Comparatives." hidden="1">{#N/A,#N/A,TRUE,"P&amp;L comparatives - summary_per";#N/A,#N/A,TRUE,"P&amp;L comparatives - detail_per";#N/A,#N/A,TRUE,"P&amp;L comparatives - summary_ytd";#N/A,#N/A,TRUE,"P&amp;L comparatives - detail_ytd"}</definedName>
    <definedName name="wrn.Comparatives._.per." localSheetId="4" hidden="1">{#N/A,#N/A,TRUE,"P&amp;L comparatives - summary_per";#N/A,#N/A,TRUE,"P&amp;L comparatives - detail_per"}</definedName>
    <definedName name="wrn.Comparatives._.per." localSheetId="5" hidden="1">{#N/A,#N/A,TRUE,"P&amp;L comparatives - summary_per";#N/A,#N/A,TRUE,"P&amp;L comparatives - detail_per"}</definedName>
    <definedName name="wrn.Comparatives._.per." hidden="1">{#N/A,#N/A,TRUE,"P&amp;L comparatives - summary_per";#N/A,#N/A,TRUE,"P&amp;L comparatives - detail_per"}</definedName>
    <definedName name="wrn.Comparatives._.Qtr." localSheetId="4" hidden="1">{#N/A,#N/A,TRUE,"P&amp;L comparatives - summary_qtr";#N/A,#N/A,TRUE,"P&amp;L comparatives - detail_qtr"}</definedName>
    <definedName name="wrn.Comparatives._.Qtr." localSheetId="5" hidden="1">{#N/A,#N/A,TRUE,"P&amp;L comparatives - summary_qtr";#N/A,#N/A,TRUE,"P&amp;L comparatives - detail_qtr"}</definedName>
    <definedName name="wrn.Comparatives._.Qtr." hidden="1">{#N/A,#N/A,TRUE,"P&amp;L comparatives - summary_qtr";#N/A,#N/A,TRUE,"P&amp;L comparatives - detail_qtr"}</definedName>
    <definedName name="wrn.comparatives._.ytd." localSheetId="4" hidden="1">{#N/A,#N/A,FALSE,"P&amp;L comparatives - summary_ytd";#N/A,#N/A,FALSE,"P&amp;L comparatives - detail_ytd"}</definedName>
    <definedName name="wrn.comparatives._.ytd." localSheetId="5" hidden="1">{#N/A,#N/A,FALSE,"P&amp;L comparatives - summary_ytd";#N/A,#N/A,FALSE,"P&amp;L comparatives - detail_ytd"}</definedName>
    <definedName name="wrn.comparatives._.ytd." hidden="1">{#N/A,#N/A,FALSE,"P&amp;L comparatives - summary_ytd";#N/A,#N/A,FALSE,"P&amp;L comparatives - detail_ytd"}</definedName>
    <definedName name="wrn.Distribution." localSheetId="4" hidden="1">{#N/A,#N/A,FALSE,"Condensed summary bs";#N/A,#N/A,FALSE,"Condensed summary bs chg";#N/A,#N/A,FALSE,"BS Detail"}</definedName>
    <definedName name="wrn.Distribution." localSheetId="5" hidden="1">{#N/A,#N/A,FALSE,"Condensed summary bs";#N/A,#N/A,FALSE,"Condensed summary bs chg";#N/A,#N/A,FALSE,"BS Detail"}</definedName>
    <definedName name="wrn.Distribution." hidden="1">{#N/A,#N/A,FALSE,"Condensed summary bs";#N/A,#N/A,FALSE,"Condensed summary bs chg";#N/A,#N/A,FALSE,"BS Detail"}</definedName>
    <definedName name="wrn.FY2001._.Package." localSheetId="4"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localSheetId="5"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localSheetId="4" hidden="1">{#N/A,#N/A,FALSE,"P&amp;L comp summary - fy2002";#N/A,#N/A,FALSE,"bs comparative - fy2002";#N/A,#N/A,FALSE,"Cashflow comparative - fy2002";#N/A,#N/A,FALSE,"memo -etc sales analysis";#N/A,#N/A,FALSE,"memo -Plan Assumptions"}</definedName>
    <definedName name="wrn.FY2002._.bank._.package." localSheetId="5" hidden="1">{#N/A,#N/A,FALSE,"P&amp;L comp summary - fy2002";#N/A,#N/A,FALSE,"bs comparative - fy2002";#N/A,#N/A,FALSE,"Cashflow comparative - fy2002";#N/A,#N/A,FALSE,"memo -etc sales analysis";#N/A,#N/A,FALSE,"memo -Plan Assumptions"}</definedName>
    <definedName name="wrn.FY2002._.bank._.package." hidden="1">{#N/A,#N/A,FALSE,"P&amp;L comp summary - fy2002";#N/A,#N/A,FALSE,"bs comparative - fy2002";#N/A,#N/A,FALSE,"Cashflow comparative - fy2002";#N/A,#N/A,FALSE,"memo -etc sales analysis";#N/A,#N/A,FALSE,"memo -Plan Assumptions"}</definedName>
    <definedName name="wrn.LTM._.trend." localSheetId="4" hidden="1">{#N/A,#N/A,FALSE,"P&amp;L trend - per sum";#N/A,#N/A,FALSE,"P&amp;L trend - per detail"}</definedName>
    <definedName name="wrn.LTM._.trend." localSheetId="5" hidden="1">{#N/A,#N/A,FALSE,"P&amp;L trend - per sum";#N/A,#N/A,FALSE,"P&amp;L trend - per detail"}</definedName>
    <definedName name="wrn.LTM._.trend." hidden="1">{#N/A,#N/A,FALSE,"P&amp;L trend - per sum";#N/A,#N/A,FALSE,"P&amp;L trend - per detail"}</definedName>
    <definedName name="wrn.model." localSheetId="4" hidden="1">{#N/A,#N/A,FALSE,"summary";#N/A,#N/A,FALSE,"capacity";#N/A,#N/A,FALSE,"liquidation";#N/A,#N/A,FALSE,"assumptions";#N/A,#N/A,FALSE,"stats"}</definedName>
    <definedName name="wrn.model." localSheetId="5" hidden="1">{#N/A,#N/A,FALSE,"summary";#N/A,#N/A,FALSE,"capacity";#N/A,#N/A,FALSE,"liquidation";#N/A,#N/A,FALSE,"assumptions";#N/A,#N/A,FALSE,"stats"}</definedName>
    <definedName name="wrn.model." hidden="1">{#N/A,#N/A,FALSE,"summary";#N/A,#N/A,FALSE,"capacity";#N/A,#N/A,FALSE,"liquidation";#N/A,#N/A,FALSE,"assumptions";#N/A,#N/A,FALSE,"stats"}</definedName>
    <definedName name="wrn.QTR." localSheetId="4" hidden="1">{#N/A,#N/A,FALSE,"Covenant summary - QTR";#N/A,#N/A,FALSE,"Covenant Calcs - QTR";"ltm_qtr",#N/A,FALSE,"P&amp;L LTM - detail";"bs_qtr",#N/A,FALSE,"Condensed summary bs"}</definedName>
    <definedName name="wrn.QTR." localSheetId="5" hidden="1">{#N/A,#N/A,FALSE,"Covenant summary - QTR";#N/A,#N/A,FALSE,"Covenant Calcs - QTR";"ltm_qtr",#N/A,FALSE,"P&amp;L LTM - detail";"bs_qtr",#N/A,FALSE,"Condensed summary bs"}</definedName>
    <definedName name="wrn.QTR." hidden="1">{#N/A,#N/A,FALSE,"Covenant summary - QTR";#N/A,#N/A,FALSE,"Covenant Calcs - QTR";"ltm_qtr",#N/A,FALSE,"P&amp;L LTM - detail";"bs_qtr",#N/A,FALSE,"Condensed summary bs"}</definedName>
    <definedName name="wrn.Quarters." localSheetId="4" hidden="1">{#N/A,#N/A,TRUE,"P&amp;L quarters - trend var 2Q";#N/A,#N/A,TRUE,"P&amp;L quarters - trend 2Q";#N/A,#N/A,TRUE,"P&amp;L quarters - trend var fcst";#N/A,#N/A,TRUE,"P&amp;L quarters - trend fcst"}</definedName>
    <definedName name="wrn.Quarters." localSheetId="5" hidden="1">{#N/A,#N/A,TRUE,"P&amp;L quarters - trend var 2Q";#N/A,#N/A,TRUE,"P&amp;L quarters - trend 2Q";#N/A,#N/A,TRUE,"P&amp;L quarters - trend var fcst";#N/A,#N/A,TRUE,"P&amp;L quarters - trend fcst"}</definedName>
    <definedName name="wrn.Quarters." hidden="1">{#N/A,#N/A,TRUE,"P&amp;L quarters - trend var 2Q";#N/A,#N/A,TRUE,"P&amp;L quarters - trend 2Q";#N/A,#N/A,TRUE,"P&amp;L quarters - trend var fcst";#N/A,#N/A,TRUE,"P&amp;L quarters - trend fcst"}</definedName>
    <definedName name="wrn.summary." localSheetId="4" hidden="1">{#N/A,#N/A,FALSE,"Condensed summary bs";#N/A,#N/A,FALSE,"Condensed summary bs chg"}</definedName>
    <definedName name="wrn.summary." localSheetId="5" hidden="1">{#N/A,#N/A,FALSE,"Condensed summary bs";#N/A,#N/A,FALSE,"Condensed summary bs chg"}</definedName>
    <definedName name="wrn.summary." hidden="1">{#N/A,#N/A,FALSE,"Condensed summary bs";#N/A,#N/A,FALSE,"Condensed summary bs chg"}</definedName>
    <definedName name="wrn.Summary._.PL." localSheetId="4" hidden="1">{#N/A,#N/A,TRUE,"P&amp;L period - summary";#N/A,#N/A,TRUE,"P&amp;L quarters - summary";#N/A,#N/A,TRUE,"P&amp;L ytd - summary";#N/A,#N/A,TRUE,"P&amp;L LTM - summary"}</definedName>
    <definedName name="wrn.Summary._.PL." localSheetId="5" hidden="1">{#N/A,#N/A,TRUE,"P&amp;L period - summary";#N/A,#N/A,TRUE,"P&amp;L quarters - summary";#N/A,#N/A,TRUE,"P&amp;L ytd - summary";#N/A,#N/A,TRUE,"P&amp;L LTM - summary"}</definedName>
    <definedName name="wrn.Summary._.PL." hidden="1">{#N/A,#N/A,TRUE,"P&amp;L period - summary";#N/A,#N/A,TRUE,"P&amp;L quarters - summary";#N/A,#N/A,TRUE,"P&amp;L ytd - summary";#N/A,#N/A,TRUE,"P&amp;L LTM - summary"}</definedName>
    <definedName name="yyy" localSheetId="4" hidden="1">{#N/A,#N/A,FALSE,"summary";#N/A,#N/A,FALSE,"capacity";#N/A,#N/A,FALSE,"liquidation";#N/A,#N/A,FALSE,"assumptions";#N/A,#N/A,FALSE,"stats"}</definedName>
    <definedName name="yyy" localSheetId="5" hidden="1">{#N/A,#N/A,FALSE,"summary";#N/A,#N/A,FALSE,"capacity";#N/A,#N/A,FALSE,"liquidation";#N/A,#N/A,FALSE,"assumptions";#N/A,#N/A,FALSE,"stats"}</definedName>
    <definedName name="yyy" hidden="1">{#N/A,#N/A,FALSE,"summary";#N/A,#N/A,FALSE,"capacity";#N/A,#N/A,FALSE,"liquidation";#N/A,#N/A,FALSE,"assumptions";#N/A,#N/A,FALSE,"stats"}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7" i="12" l="1"/>
  <c r="W22" i="12"/>
  <c r="J19" i="12"/>
  <c r="I19" i="12"/>
  <c r="H19" i="12"/>
  <c r="A1" i="20"/>
</calcChain>
</file>

<file path=xl/sharedStrings.xml><?xml version="1.0" encoding="utf-8"?>
<sst xmlns="http://schemas.openxmlformats.org/spreadsheetml/2006/main" count="2630" uniqueCount="310">
  <si>
    <t>Vendor Name:</t>
  </si>
  <si>
    <t>INVOICE</t>
  </si>
  <si>
    <t>Vendor Address:</t>
  </si>
  <si>
    <t xml:space="preserve">INVOICE NUMBER  </t>
  </si>
  <si>
    <t xml:space="preserve">INVOICE DATE  </t>
  </si>
  <si>
    <t xml:space="preserve">TERMS  </t>
  </si>
  <si>
    <t xml:space="preserve">PO# </t>
  </si>
  <si>
    <t>Boston, MA 02199</t>
  </si>
  <si>
    <t>Total Cartons Shipped</t>
  </si>
  <si>
    <t>PO Line #</t>
  </si>
  <si>
    <t xml:space="preserve"> Total Quantity Shipped</t>
  </si>
  <si>
    <t xml:space="preserve">Cartons </t>
  </si>
  <si>
    <t>Vendor Style</t>
  </si>
  <si>
    <t>Description</t>
  </si>
  <si>
    <t>Unit Price</t>
  </si>
  <si>
    <t>Amount Total ($)</t>
  </si>
  <si>
    <t/>
  </si>
  <si>
    <t>AMOUNT</t>
  </si>
  <si>
    <t>DUE</t>
  </si>
  <si>
    <t>INVOICE EXAMPLE-Do not send by-store invoices, we need one invoice per PO by style total qty shipped</t>
  </si>
  <si>
    <t>ROUTING OF PURCHASE ORDERS TO BE FORWARDED TO VENDOR SHIPPING MANAGER along with LOGISTICS INSTRUCTIONS</t>
  </si>
  <si>
    <t xml:space="preserve">Email: routing@megalogistics.com </t>
  </si>
  <si>
    <t>Phone: 800-999-MEGA (6342) Press 1 for Dispatch</t>
  </si>
  <si>
    <t>Carol Morgan - Logistics Team Coordinator</t>
  </si>
  <si>
    <t>(O)</t>
  </si>
  <si>
    <r>
      <t xml:space="preserve">(401) 431-2300  </t>
    </r>
    <r>
      <rPr>
        <b/>
        <sz val="11"/>
        <color theme="1"/>
        <rFont val="Arial"/>
        <family val="2"/>
      </rPr>
      <t>(ext. 161)</t>
    </r>
  </si>
  <si>
    <t>(C)  508-208-7898</t>
  </si>
  <si>
    <r>
      <t xml:space="preserve">(401) 431-2300  </t>
    </r>
    <r>
      <rPr>
        <b/>
        <sz val="11"/>
        <color theme="1"/>
        <rFont val="Arial"/>
        <family val="2"/>
      </rPr>
      <t>(ext. 121)</t>
    </r>
  </si>
  <si>
    <t>(C)  401-641-2838</t>
  </si>
  <si>
    <t>PO #    /     TOTAL # CARTONS    /   CARTON WEIGHT   /  CARTON DIMENSION    /   TOTAL WEIGHT   /  # PALLETS   /   VENDOR NAME</t>
  </si>
  <si>
    <t>WAREHOUSE NAME    /   COMPLETE SHIPPING ADDRESS    /   SHIPPER CONTACT INFO   /   SHIPPING HOURS    /   READY DATE   /   SPECIAL INSTRUCTIONS</t>
  </si>
  <si>
    <t>Email completed form to the Logistics team at : routing@megalogistics.com  for routing instructions and coordination</t>
  </si>
  <si>
    <t>MARKING / PACKAGING / SHIPMENT PREPARATION INSTRUCTIONS</t>
  </si>
  <si>
    <t>ALL Cartons are to be shipped by store, not by item/style</t>
  </si>
  <si>
    <t>·   All cartons must be marked with the store number, store name, address, city and/or province, state. Postal code and P.O. #</t>
  </si>
  <si>
    <t>·   All cartons must be numbered to show the number of cartons per store as follows:   1 of 6, 2 of 6, 3 of 6, etc.</t>
  </si>
  <si>
    <t xml:space="preserve"> ·  Shipment order  should be routed and released by furthest destination zip code from the shipping location</t>
  </si>
  <si>
    <t>FOR PARCEL SHIPMENTS</t>
  </si>
  <si>
    <t>FOR LTL SHIPMENTS</t>
  </si>
  <si>
    <t>Pallets are shipped by store, not by item/style</t>
  </si>
  <si>
    <t>·  All parcel shipments must be labeled per attached label example:</t>
  </si>
  <si>
    <t>Pallets must be standard with NO OVERHANG</t>
  </si>
  <si>
    <t xml:space="preserve">· All pallet freight must be triple wrapped around top, middle, and bottom </t>
  </si>
  <si>
    <t xml:space="preserve">  with larger/heavier cartons on the bottom and strongly secured to the pallets for safe transit.</t>
  </si>
  <si>
    <t>ALWAYS USE THE ACTUAL STORE NAME AND THE ASSIGNED STORE NUMBER AS THE SHIP TO NAME!!!  SEE ATTACHED EXAMPLES!!!</t>
  </si>
  <si>
    <r>
      <rPr>
        <b/>
        <sz val="14"/>
        <rFont val="Arial"/>
        <family val="2"/>
      </rPr>
      <t>*!!!</t>
    </r>
    <r>
      <rPr>
        <b/>
        <sz val="14"/>
        <color rgb="FFFF0000"/>
        <rFont val="Arial"/>
        <family val="2"/>
      </rPr>
      <t xml:space="preserve"> DO NOT</t>
    </r>
    <r>
      <rPr>
        <b/>
        <sz val="14"/>
        <color theme="1"/>
        <rFont val="Arial"/>
        <family val="2"/>
      </rPr>
      <t xml:space="preserve"> MIX STORE SHIIPMENTS ON A PALLET!!!   LOAD ALL SHIPMENTS BY STORE NOT BY ITEM!!!     ONE STORE = ONE PALLET!!!*</t>
    </r>
  </si>
  <si>
    <t>SHIPMENT EXECUTION INSTRUCTIONS</t>
  </si>
  <si>
    <t>Parcel</t>
  </si>
  <si>
    <t>LTL/ TL Shipments</t>
  </si>
  <si>
    <t>· Freight must be ready to execute on shipping when requesting routing.</t>
  </si>
  <si>
    <t>· BOL generation and carrier assignment to be provided by our Logistics Team.</t>
  </si>
  <si>
    <t>· DO NOT USE YOUR OWN BOL.  It will be provided by our Logistics Team.</t>
  </si>
  <si>
    <t>· Our Logistics team will coordinate pick ups with your shipping departments directly.</t>
  </si>
  <si>
    <t>· Please see attached label example for reference field instructions.</t>
  </si>
  <si>
    <t>· Our team will provide the bill of lading copies per store, preprinted with the shipment</t>
  </si>
  <si>
    <t>· Reference Field 1 - P.O. Number  (No special characters such as #, "PO", etc.)</t>
  </si>
  <si>
    <t xml:space="preserve">  and bill to information.  </t>
  </si>
  <si>
    <t>· Reference Field 2 - Store Number (No special characters such as #, No., etc.)</t>
  </si>
  <si>
    <t>Please Note:</t>
  </si>
  <si>
    <t xml:space="preserve">Max Dims Longest side NOT to exceed 48" or second longest side NOT to exceed 30" </t>
  </si>
  <si>
    <t>Actual weight NOT to exceed 50 LBS per box/package</t>
  </si>
  <si>
    <t xml:space="preserve">· Max pallet height not to exceed 96"  </t>
  </si>
  <si>
    <t>Max Length plus Girth NOT to exceed 105" (L) + (2 x W) + (2 X H)</t>
  </si>
  <si>
    <t>FAILURE TO COMPLY WITH THESE SHIPPING AND/OR PACKAGING INSTRUCTIONS MAY RESULT IN CHARGE BACKS</t>
  </si>
  <si>
    <t>MERCHANDISE INVOICING</t>
  </si>
  <si>
    <t xml:space="preserve">      CHANGING THE CASE PACKS WITHOUT NOTIFICATION MAY RESULTS IN DELAYS LEADING TO POTENTIAL CHARGE-BACKS.</t>
  </si>
  <si>
    <t xml:space="preserve"> Any changes to case pack from original PO  MUST BE NOTIFIED TO GORDON BROTHERS/MEGA PRIOR TO SHIPPING</t>
  </si>
  <si>
    <r>
      <rPr>
        <b/>
        <sz val="14"/>
        <rFont val="Arial"/>
        <family val="2"/>
      </rPr>
      <t>*!!!</t>
    </r>
    <r>
      <rPr>
        <b/>
        <sz val="14"/>
        <color rgb="FFFF0000"/>
        <rFont val="Arial"/>
        <family val="2"/>
      </rPr>
      <t xml:space="preserve"> DO NOT</t>
    </r>
    <r>
      <rPr>
        <b/>
        <sz val="14"/>
        <color theme="1"/>
        <rFont val="Arial"/>
        <family val="2"/>
      </rPr>
      <t xml:space="preserve"> SHIP PARTIAL STORE SHIPMENTS UNLESS APPROVED BY Gordon Brothers PURCHASING!!!*</t>
    </r>
  </si>
  <si>
    <t xml:space="preserve"> to ensure timely delivery to destination.</t>
  </si>
  <si>
    <t>. Please attach an additional copy of the bill of lading be affixed to each pallet</t>
  </si>
  <si>
    <t>Invoice(s) must be submitted for payment in a consolidated form (just like the PO), with the BOLS and/or UPS shipping information.</t>
  </si>
  <si>
    <t xml:space="preserve"> ACH information must be provided, as it is our preferred method of the payment process.</t>
  </si>
  <si>
    <t>Information needed: Invoice(s), Bols/UPS tracking numbers and packing slips.</t>
  </si>
  <si>
    <t>We are asking that you please use the file naming convention as follows: PO- Inv  _____ - Vendor Name - $ amount</t>
  </si>
  <si>
    <t>ONLY provide driver with the BOL provided by MEGA</t>
  </si>
  <si>
    <t>PACKING SLIPS must be ATTACHED to PALLETS ONLY</t>
  </si>
  <si>
    <r>
      <t>· A</t>
    </r>
    <r>
      <rPr>
        <b/>
        <sz val="12"/>
        <color theme="1"/>
        <rFont val="Arial"/>
        <family val="2"/>
      </rPr>
      <t xml:space="preserve"> project specific</t>
    </r>
    <r>
      <rPr>
        <sz val="12"/>
        <color theme="1"/>
        <rFont val="Arial"/>
        <family val="2"/>
      </rPr>
      <t xml:space="preserve"> UPS account # will be provided at time of routing.</t>
    </r>
  </si>
  <si>
    <t>Mega at Routing@megalogistics.com</t>
  </si>
  <si>
    <t xml:space="preserve">·  Once labels have been created, the UPS tracking numbers MUST be supplied to </t>
  </si>
  <si>
    <r>
      <t xml:space="preserve">· All parcel shipments are to be manifested </t>
    </r>
    <r>
      <rPr>
        <b/>
        <sz val="13"/>
        <rFont val="Arial"/>
        <family val="2"/>
      </rPr>
      <t>3rd Party bill to</t>
    </r>
    <r>
      <rPr>
        <b/>
        <sz val="12"/>
        <rFont val="Arial"/>
        <family val="2"/>
      </rPr>
      <t xml:space="preserve"> Gordon Brothers</t>
    </r>
  </si>
  <si>
    <t>UPS ACCT # to be provided by Logistics Team at time of routing</t>
  </si>
  <si>
    <t>·  Sample created label must be provided to Mega for approval PRIOR to shipping</t>
  </si>
  <si>
    <t xml:space="preserve">· Standard pallets required  - NO OVERHANG ON PALLETS  </t>
  </si>
  <si>
    <t xml:space="preserve"> (40x48 plts only) notify Mega if pallets are larger)</t>
  </si>
  <si>
    <t xml:space="preserve"> Please upload the PO invoice(s) and shipping backup to the GB Egnyte  </t>
  </si>
  <si>
    <t>SEE ADDITIONAL NOTE ON TICKETS BELOW</t>
  </si>
  <si>
    <t xml:space="preserve">      TICKETING INSTRUCTIONS:</t>
  </si>
  <si>
    <t>Read all instructions:Failure to follow the guidelines  will result in charge backs:</t>
  </si>
  <si>
    <t>Do not call or email-NBS has all the purchase order information-clink on link below to start ordering tickets</t>
  </si>
  <si>
    <t>"Please click on the link below to review your sample and place your order... https://www.nbsprinting.com/order-here-usa</t>
  </si>
  <si>
    <t>NBS PRINTING I TAGS I Custom Barcode Tags</t>
  </si>
  <si>
    <t xml:space="preserve">Custom barcode labels, preprinted barcode labels, </t>
  </si>
  <si>
    <t>Next Day Label Printing, short or long runs, no quantity minimums, low prices, 100% guaranteed, FREE designs.</t>
  </si>
  <si>
    <t>www.nbsprinting.com</t>
  </si>
  <si>
    <t>(514) 272-0663, (800) 364-8627</t>
  </si>
  <si>
    <t xml:space="preserve">addressed below. </t>
  </si>
  <si>
    <t>Kathy Tiedeken /</t>
  </si>
  <si>
    <t>856-904-2702 /</t>
  </si>
  <si>
    <t>ktiedeken@navigategbrp.com</t>
  </si>
  <si>
    <t xml:space="preserve">Tickets must be ordered upon receipt of this document(Purchase Order) at the vendor's expense, the rush </t>
  </si>
  <si>
    <t xml:space="preserve">and overnight option must be included as part of the order. </t>
  </si>
  <si>
    <t xml:space="preserve">Every single unit must be ticketed using the UPC that is listed on the Purchase Order.  Every item </t>
  </si>
  <si>
    <t>must have the SKU-Barcode/Style#/Description/Retail Price that is listed on the PO.</t>
  </si>
  <si>
    <t xml:space="preserve"> NO ADDITIONAL TICKETS, PRICES, BARCODES SHOULD BE FOUND ON THE ITEM OTHER THAN WHAT IS PROVIDED ON </t>
  </si>
  <si>
    <t xml:space="preserve">THE PURCHASE ORDER. </t>
  </si>
  <si>
    <t xml:space="preserve">Please note that if the item has an existing UPC/Barcode/MSRP it must be removed. If the </t>
  </si>
  <si>
    <t xml:space="preserve">Barcode is affixed to the item and it cannot be removed, then it must be defaced using a </t>
  </si>
  <si>
    <t>magic marker by drawing vertical lines as illustrated below.  After this is completed</t>
  </si>
  <si>
    <t xml:space="preserve">the new sticker or tag should be affixed on top of the defaced barcode. </t>
  </si>
  <si>
    <t xml:space="preserve">    Sample Defaced Barcode</t>
  </si>
  <si>
    <t xml:space="preserve">There are 3 different types of tickets used throughout our many projects. </t>
  </si>
  <si>
    <r>
      <t>Please understand which ticket type best suits your merchandise/item.</t>
    </r>
    <r>
      <rPr>
        <b/>
        <sz val="12"/>
        <color theme="1"/>
        <rFont val="Calibri"/>
        <family val="2"/>
        <scheme val="minor"/>
      </rPr>
      <t xml:space="preserve">  (Hangtag / Sticker/Rat-tail).</t>
    </r>
  </si>
  <si>
    <t>When selecting the amount of tickets to order, it is always recommended to order a few extras</t>
  </si>
  <si>
    <t xml:space="preserve">where large quantities exist. </t>
  </si>
  <si>
    <t xml:space="preserve">Please note that some items may need more than one price ticket  to cover all MSRP/existing barcodes (if any).  </t>
  </si>
  <si>
    <t>Undertand the ticketing requirements in full prior to placing your ticket order.</t>
  </si>
  <si>
    <t>TICKETS TO ENSURE A SMOOTH PROCESS.</t>
  </si>
  <si>
    <t xml:space="preserve">ONCE THE TICKETING PROCESS BEGINS, PLEASE EMAIL A SAMPLE OF THE NEW TICKETING SHOWN </t>
  </si>
  <si>
    <t>ON THE MERCHANDISE TO VERIFY THE PROCESS ONE MORE TIME</t>
  </si>
  <si>
    <t>NOTE: Shoes must be ticketed on the Shoe it self and on the box. Shoes must be tied together with a loop tie and a hangtag</t>
  </si>
  <si>
    <t xml:space="preserve">            Sunglasses must be ticketed with Rat-tails</t>
  </si>
  <si>
    <t xml:space="preserve">Failure to follow the guidelines above will result in charge backs. </t>
  </si>
  <si>
    <t>Net 60</t>
  </si>
  <si>
    <t>CONSULT WITH KATHY FOR A FINAL CHECK PRIOR TO ORDERING YOUR</t>
  </si>
  <si>
    <t>**Purchase Order Terms and Conditions**</t>
  </si>
  <si>
    <t>**Product Liability Compliance**</t>
  </si>
  <si>
    <t>**Proposition 65 Compliance**</t>
  </si>
  <si>
    <t>1. **Supplier's Obligations**:</t>
  </si>
  <si>
    <t>   - Supplier acknowledges and agrees to comply with all applicable requirements of California’s Proposition 65, officially known as the Safe Drinking Water and Toxic Enforcement Act of 1986.</t>
  </si>
  <si>
    <t>   - Supplier shall identify any products supplied under this Purchase Order that contain chemicals known to the State of California to cause cancer, birth defects, or other reproductive harm, as listed in the current Proposition 65 chemical list.</t>
  </si>
  <si>
    <t>2. **Labeling Requirements**:</t>
  </si>
  <si>
    <t>   - For any products identified under Section 1 as containing Proposition 65-listed chemicals, Supplier shall affix a clear and reasonable warning label that complies with Proposition 65 regulations. The warning label shall be prominently displayed on the product or its packaging.</t>
  </si>
  <si>
    <t>   - The warning label shall contain language substantially similar to the following:</t>
  </si>
  <si>
    <t>     - “WARNING: This product can expose you to [chemical name], which is known to the State of California to cause [cancer and/or birth defects or other reproductive harm]. For more information, go to www.P65Warnings.ca.gov.”</t>
  </si>
  <si>
    <t>3. **Documentation and Certification**:</t>
  </si>
  <si>
    <t>   - Supplier shall provide certification to Buyer, upon request, that the products comply with Proposition 65 requirements, including the provision of appropriate warnings.</t>
  </si>
  <si>
    <t>   - Supplier shall maintain documentation of compliance with Proposition 65 for a minimum of five (5) years and shall provide such documentation to Buyer upon request.</t>
  </si>
  <si>
    <t>4. **Indemnification**:</t>
  </si>
  <si>
    <t>   - Supplier shall indemnify, defend, and hold harmless Buyer, its affiliates, and their respective officers, directors, employees, and agents from and against any and all claims, liabilities, damages, fines, penalties, and expenses (including reasonable attorneys’ fees) arising out of or related to Supplier’s failure to comply with Proposition 65 requirements, including but not limited to improper or inadequate labeling.</t>
  </si>
  <si>
    <t>5. **Inspection and Rejection**:</t>
  </si>
  <si>
    <t>   - Buyer reserves the right to inspect the products upon delivery and to reject any products that do not comply with the Proposition 65 labeling requirements. Rejected products shall be returned to Supplier at Supplier’s expense, and Supplier shall promptly provide compliant replacement products.</t>
  </si>
  <si>
    <t>Bill to:</t>
  </si>
  <si>
    <t>Gordon Brothers Retail Partners, LLC</t>
  </si>
  <si>
    <t>101 Huntington Ave</t>
  </si>
  <si>
    <t>ATTN: Christine Choo</t>
  </si>
  <si>
    <t xml:space="preserve">All Orders will be routed by Gordon Bros Logistics Team:  </t>
  </si>
  <si>
    <t>Jimmie Gramajo - Logistics Coordinator</t>
  </si>
  <si>
    <r>
      <t xml:space="preserve">(401) 431-2300  </t>
    </r>
    <r>
      <rPr>
        <b/>
        <sz val="11"/>
        <color theme="1"/>
        <rFont val="Arial"/>
        <family val="2"/>
      </rPr>
      <t>(ext. 112)</t>
    </r>
  </si>
  <si>
    <t>(C)  401-241-4734</t>
  </si>
  <si>
    <t>WHEN READY TO SHIP-   WAREHOUSE MUST  FILL OUT ATTACHED ROUTING TEMPLATE IDENTIFYING:</t>
  </si>
  <si>
    <r>
      <t xml:space="preserve">*!!! </t>
    </r>
    <r>
      <rPr>
        <b/>
        <u/>
        <sz val="16"/>
        <color rgb="FFFF0000"/>
        <rFont val="Arial"/>
        <family val="2"/>
      </rPr>
      <t>DO NOT</t>
    </r>
    <r>
      <rPr>
        <b/>
        <u/>
        <sz val="16"/>
        <color theme="1"/>
        <rFont val="Arial"/>
        <family val="2"/>
      </rPr>
      <t xml:space="preserve"> USE "Gordon Brothers"  AS THE SHIP TO NAME!!!  </t>
    </r>
  </si>
  <si>
    <t xml:space="preserve"> MEGA WILL COORDINATE  PARCEL PICKUP </t>
  </si>
  <si>
    <t>Store #</t>
  </si>
  <si>
    <t>Store Name</t>
  </si>
  <si>
    <t>Address</t>
  </si>
  <si>
    <t>Address 2</t>
  </si>
  <si>
    <t>City</t>
  </si>
  <si>
    <t>State</t>
  </si>
  <si>
    <t>Suite 1100</t>
  </si>
  <si>
    <t>Routing Template</t>
  </si>
  <si>
    <t>Project Name :</t>
  </si>
  <si>
    <t>Complete Routing ?</t>
  </si>
  <si>
    <t>Yes or No</t>
  </si>
  <si>
    <t>Purchase Order Nbr:</t>
  </si>
  <si>
    <t>Warehouse Name:</t>
  </si>
  <si>
    <t>"MUST BE COMPLETED TO ROUTE"</t>
  </si>
  <si>
    <t>Shippers Address:</t>
  </si>
  <si>
    <t>City:</t>
  </si>
  <si>
    <t>State:</t>
  </si>
  <si>
    <t xml:space="preserve">Zip: </t>
  </si>
  <si>
    <t>Shipper Contact Name :</t>
  </si>
  <si>
    <t>Shipper Contact Email:</t>
  </si>
  <si>
    <t>Shipper Contact Phone:</t>
  </si>
  <si>
    <t>Extension:</t>
  </si>
  <si>
    <t xml:space="preserve">Pickup Reference: </t>
  </si>
  <si>
    <t>Any Special Instructions:</t>
  </si>
  <si>
    <t>Carton Info</t>
  </si>
  <si>
    <t>Pallet Info</t>
  </si>
  <si>
    <t>REQUIRED</t>
  </si>
  <si>
    <t>INTERNAL</t>
  </si>
  <si>
    <t>Store No</t>
  </si>
  <si>
    <t>Suite/Bldg</t>
  </si>
  <si>
    <t>Zip</t>
  </si>
  <si>
    <t>Total units</t>
  </si>
  <si>
    <t>Total Cartons</t>
  </si>
  <si>
    <t>Total Store Weight</t>
  </si>
  <si>
    <t xml:space="preserve">Heaviest Case Weight </t>
  </si>
  <si>
    <t># of Pallets</t>
  </si>
  <si>
    <t>MODE</t>
  </si>
  <si>
    <t>Greg Breiner - Project Coordinator</t>
  </si>
  <si>
    <t>· All Pallets must be marked w/ P.O. #, Store # &amp; Store name, Address, City, State Postal Code</t>
  </si>
  <si>
    <t>Signed BOL's must be emailed to routing@megalogistics.com immediately/same day of carrier pickup.</t>
  </si>
  <si>
    <t>Signed BOL's must be emailed to routing@megalogistics.com immediately/same day</t>
  </si>
  <si>
    <t>upon loading of the carrier.</t>
  </si>
  <si>
    <t>Ready Ship Date:</t>
  </si>
  <si>
    <t>Largest Case Length</t>
  </si>
  <si>
    <t>Largest Case Width</t>
  </si>
  <si>
    <t>Largest Case Height</t>
  </si>
  <si>
    <t>Pallet Length</t>
  </si>
  <si>
    <t>Pallet Width</t>
  </si>
  <si>
    <t>Pallet Height</t>
  </si>
  <si>
    <t>rev 5/20/2025</t>
  </si>
  <si>
    <t>ST</t>
  </si>
  <si>
    <t>Shipping Open Time:</t>
  </si>
  <si>
    <t>Shipping Close Time:</t>
  </si>
  <si>
    <t>Commodity Description</t>
  </si>
  <si>
    <t>NMFC</t>
  </si>
  <si>
    <t>Class</t>
  </si>
  <si>
    <t>Cube</t>
  </si>
  <si>
    <t xml:space="preserve">Vendor/Supplier will provide General Liability and Product liability insurance policy coverage against claims for bodily injury, death or property damage resulting from the use of products sold by the Vendor/Supplier  or any of its subsidiaries with Limits of $1,000,000 Each Occurrence. $2,000,000 Aggregate. Policy shall include a waiver of subrogation shall apply in favor of Gordon Brothers and Gordon Brothers subsidiaries, affiliates, officers, directors, agents, and employees.  And shall list Gordon Brothers and Gordon Brothers subsidiaries, affiliates, officers, directors’ agents and employees as additional insured and this coverage must be primary and noncontributory with any other insurance available to the additional insured. For each renewal, Vendor/Supplier  shall provide Buyer with a Certificate of Insurance evidencing that the Required Minimum Insurance is in place.    Vendor/Supplier , shall require all subcontractors and Vendor/Supplier s it hires to work on this service to provide the same insurance and limits as required of them.          </t>
  </si>
  <si>
    <t>IMPORTANT: ALL ORDERS MUST BE ROUTED 48 HOURS PRIOR TO SHIP DATE ANY ORDERS DELAYED DUE TO LATE ROUTING WILL BE SUBJECT TO CHARGEBACKS</t>
  </si>
  <si>
    <t xml:space="preserve">Please contact Connie Velez or Kathy Tiedeken if there are additional questions or concerns that are not </t>
  </si>
  <si>
    <t>Connie Velez / 646-857-1282 / cvelez@gordonbrothers.com</t>
  </si>
  <si>
    <t xml:space="preserve">IMPORTANT: ALL ORDERS MUST BE ROUTED 48 HOURS PRIOR TO SHIP DATE </t>
  </si>
  <si>
    <t>ANY ORDERS DELAYED DUE TO LATE ROUTING WILL BE SUBJECT TO CHARGEBACKS</t>
  </si>
  <si>
    <t>Please provide weights in LBS and Measurements in INCHES</t>
  </si>
  <si>
    <t>JCP81</t>
  </si>
  <si>
    <t>JCPenney 2263</t>
  </si>
  <si>
    <t>1006 Ross Park Mall Dr</t>
  </si>
  <si>
    <t>Pittsburgh</t>
  </si>
  <si>
    <t>PA</t>
  </si>
  <si>
    <t>JCP81 Ph 25a</t>
  </si>
  <si>
    <t>For example: (JCP819000 – Inv # 123456 – Vendor Name - $0.00).</t>
  </si>
  <si>
    <t xml:space="preserve">                                (JCP819000 – BOL /or UPS Tracking / or Packing Slips)</t>
  </si>
  <si>
    <t xml:space="preserve">Do Not Ship Before: </t>
  </si>
  <si>
    <t>PO Number:</t>
  </si>
  <si>
    <t>JCP815002</t>
  </si>
  <si>
    <t xml:space="preserve">Do not Ship After: </t>
  </si>
  <si>
    <t>Vendor email:</t>
  </si>
  <si>
    <t>Special Instructions for VENDOR:</t>
  </si>
  <si>
    <t>Project:</t>
  </si>
  <si>
    <t xml:space="preserve">Ship Via: </t>
  </si>
  <si>
    <t>See Logistics instructions</t>
  </si>
  <si>
    <t>REVIEW THE TICKETING INSTRUCTIONS (included in this file)</t>
  </si>
  <si>
    <t>Ship to Store:</t>
  </si>
  <si>
    <t>Shipping Warehouse:</t>
  </si>
  <si>
    <t>REVIEW LOGISTICS INSTRUCTIONS (included in this file)</t>
  </si>
  <si>
    <t>Approved By:</t>
  </si>
  <si>
    <t>EMAIL LOGISTICS TEAM@ routing@megalogistics.com FOR ROUTING INSTRUCTIONS WHEN READY TO SHIP</t>
  </si>
  <si>
    <t xml:space="preserve">Terms: </t>
  </si>
  <si>
    <t xml:space="preserve">Invoices, Packing Bills and BOLs are to be uploaded to GB/Egnyte folder. Copy and Paste onto your search bar:                                                                                                                                                                              </t>
  </si>
  <si>
    <t>Any incremental freight charges caused by a failure to comply with the shipping instructions and timeframe will result in a 5% chargeback on the total order to the vendor. Orders may not be shipped beyond the cancel date on the P.O. unless previously approved. Approved extensions will result in a 1% chargeback per day on the total order for goods received after the final receipt date.”</t>
  </si>
  <si>
    <t>https://gbretail.egnyte.com/ul/4e99Z1tjak</t>
  </si>
  <si>
    <t>Date:</t>
  </si>
  <si>
    <t>ABSOLUTELY NO SUBTITUTIONS WITHOUT PRIOR WRITTEN APPROVAL</t>
  </si>
  <si>
    <t>Buyer is acquiring the goods purchased pursuant to this purchase order for further resale in a retail chain and upon such resale,</t>
  </si>
  <si>
    <t>any sales taxes associated therewith will be collected from the consumer at the point of sale and thereafter remitted to the applicable authorities.</t>
  </si>
  <si>
    <t>PO Line No.</t>
  </si>
  <si>
    <t>DEPT</t>
  </si>
  <si>
    <t>Lot Line SKU</t>
  </si>
  <si>
    <t>ITEM_ORIN</t>
  </si>
  <si>
    <t>Gender</t>
  </si>
  <si>
    <t>Brand</t>
  </si>
  <si>
    <t>Color</t>
  </si>
  <si>
    <t>Size</t>
  </si>
  <si>
    <t>Vendor Style #</t>
  </si>
  <si>
    <t>GB Style #</t>
  </si>
  <si>
    <t>Unit Cost</t>
  </si>
  <si>
    <t>Unit Retail</t>
  </si>
  <si>
    <t>Case Pack</t>
  </si>
  <si>
    <t>Total Cases</t>
  </si>
  <si>
    <t>Total Quantity</t>
  </si>
  <si>
    <t>Total Cost</t>
  </si>
  <si>
    <t>Total Retail</t>
  </si>
  <si>
    <t>Style Desc</t>
  </si>
  <si>
    <t>NBS Description</t>
  </si>
  <si>
    <t>Check</t>
  </si>
  <si>
    <t>Style/Retail Check</t>
  </si>
  <si>
    <t>NBS SKU Retail check</t>
  </si>
  <si>
    <t>AMERICAN EXCHANGE GROUP</t>
  </si>
  <si>
    <t>bill.diamond@axnygroup.com</t>
  </si>
  <si>
    <t>#2263: 1006 Ross Park Mall Dr, Pittsburgh PA 15237</t>
  </si>
  <si>
    <t>Perris, CA</t>
  </si>
  <si>
    <t>NA</t>
  </si>
  <si>
    <t>BOC</t>
  </si>
  <si>
    <t>Olive/Saddle</t>
  </si>
  <si>
    <t>BOC9988-42</t>
  </si>
  <si>
    <t>BOC CROSS BODY COLORBLOCK</t>
  </si>
  <si>
    <t>Grey/Chocolate</t>
  </si>
  <si>
    <t>BOC9994-42</t>
  </si>
  <si>
    <t>BOC CROSS BODY HOBO</t>
  </si>
  <si>
    <t>Saddle</t>
  </si>
  <si>
    <t>BOC9973A-42</t>
  </si>
  <si>
    <t>BOC ORGANIZER CROSS BODY</t>
  </si>
  <si>
    <t>Black</t>
  </si>
  <si>
    <t>BOC9973B-42</t>
  </si>
  <si>
    <t>Chocolate</t>
  </si>
  <si>
    <t>BOC9987-42</t>
  </si>
  <si>
    <t>BOC CROSS BODY SOLID</t>
  </si>
  <si>
    <t>White Mountain</t>
  </si>
  <si>
    <t>WMH1481K-42</t>
  </si>
  <si>
    <t>WM CROSS BODY</t>
  </si>
  <si>
    <t>WMH403-42</t>
  </si>
  <si>
    <t>WM CROSS BODY ZIPS</t>
  </si>
  <si>
    <t>WMH428-42</t>
  </si>
  <si>
    <t>WM CROSS BODY ENGRAVED</t>
  </si>
  <si>
    <t xml:space="preserve">PO Number: </t>
  </si>
  <si>
    <t># of Cartons&gt;&gt;</t>
  </si>
  <si>
    <t xml:space="preserve">Vendor Name: </t>
  </si>
  <si>
    <t>Store No&gt;&gt;</t>
  </si>
  <si>
    <t xml:space="preserve">Project: </t>
  </si>
  <si>
    <t>Store:</t>
  </si>
  <si>
    <t>CASE ALLOCATION:</t>
  </si>
  <si>
    <t>PO#</t>
  </si>
  <si>
    <t xml:space="preserve">Vendor </t>
  </si>
  <si>
    <t>SKU</t>
  </si>
  <si>
    <t>SZ</t>
  </si>
  <si>
    <t>STORE # &gt;&gt;</t>
  </si>
  <si>
    <t>0</t>
  </si>
  <si>
    <t>Connie Velez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</si>
</sst>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mm/dd/yy"/>
    <numFmt numFmtId="165" formatCode="[$$-409]#,##0.00"/>
    <numFmt numFmtId="166" formatCode="[$-409]General"/>
    <numFmt numFmtId="167" formatCode="mm/dd/yy;@"/>
    <numFmt numFmtId="168" formatCode="00000"/>
    <numFmt numFmtId="169" formatCode="&quot;$&quot;#,##0.00"/>
    <numFmt numFmtId="170" formatCode="0_);\(0\)"/>
    <numFmt numFmtId="171" formatCode="[$-F400]h:mm:ss\ AM/PM"/>
  </numFmts>
  <fonts count="93" x14ac:knownFonts="1">
    <font>
      <sz val="11"/>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b/>
      <sz val="12"/>
      <color theme="1"/>
      <name val="Arial"/>
      <family val="2"/>
    </font>
    <font>
      <b/>
      <sz val="16"/>
      <color theme="1"/>
      <name val="Calibri"/>
      <family val="2"/>
      <scheme val="minor"/>
    </font>
    <font>
      <b/>
      <sz val="12"/>
      <color theme="1"/>
      <name val="Calibri"/>
      <family val="2"/>
      <scheme val="minor"/>
    </font>
    <font>
      <sz val="12"/>
      <color theme="1"/>
      <name val="Arial"/>
      <family val="2"/>
    </font>
    <font>
      <sz val="12"/>
      <name val="Arial"/>
      <family val="2"/>
    </font>
    <font>
      <b/>
      <sz val="14"/>
      <name val="Calibri"/>
      <family val="2"/>
      <scheme val="minor"/>
    </font>
    <font>
      <sz val="11"/>
      <color theme="1"/>
      <name val="Arial"/>
      <family val="2"/>
    </font>
    <font>
      <sz val="12"/>
      <color theme="1"/>
      <name val="Calibri"/>
      <family val="2"/>
      <scheme val="minor"/>
    </font>
    <font>
      <sz val="10"/>
      <name val="Arial"/>
      <family val="2"/>
    </font>
    <font>
      <b/>
      <sz val="18"/>
      <name val="Calibri"/>
      <family val="2"/>
      <scheme val="minor"/>
    </font>
    <font>
      <sz val="10"/>
      <name val="Calibri"/>
      <family val="2"/>
      <scheme val="minor"/>
    </font>
    <font>
      <sz val="26"/>
      <name val="Calibri"/>
      <family val="2"/>
      <scheme val="minor"/>
    </font>
    <font>
      <sz val="28"/>
      <color theme="0" tint="-0.499984740745262"/>
      <name val="Calibri"/>
      <family val="2"/>
      <scheme val="minor"/>
    </font>
    <font>
      <b/>
      <sz val="20"/>
      <name val="Calibri"/>
      <family val="2"/>
      <scheme val="minor"/>
    </font>
    <font>
      <sz val="10"/>
      <color indexed="8"/>
      <name val="Calibri"/>
      <family val="2"/>
      <scheme val="minor"/>
    </font>
    <font>
      <b/>
      <sz val="10"/>
      <color indexed="8"/>
      <name val="Calibri"/>
      <family val="2"/>
      <scheme val="minor"/>
    </font>
    <font>
      <sz val="11"/>
      <name val="Calibri"/>
      <family val="2"/>
      <scheme val="minor"/>
    </font>
    <font>
      <b/>
      <u/>
      <sz val="12"/>
      <name val="Calibri"/>
      <family val="2"/>
      <scheme val="minor"/>
    </font>
    <font>
      <b/>
      <u/>
      <sz val="11"/>
      <name val="Calibri"/>
      <family val="2"/>
      <scheme val="minor"/>
    </font>
    <font>
      <b/>
      <sz val="11"/>
      <name val="Calibri"/>
      <family val="2"/>
      <scheme val="minor"/>
    </font>
    <font>
      <b/>
      <sz val="12"/>
      <name val="Calibri"/>
      <family val="2"/>
      <scheme val="minor"/>
    </font>
    <font>
      <b/>
      <sz val="8"/>
      <color indexed="8"/>
      <name val="Calibri"/>
      <family val="2"/>
      <scheme val="minor"/>
    </font>
    <font>
      <sz val="12"/>
      <name val="Times New Roman"/>
      <family val="1"/>
    </font>
    <font>
      <sz val="9"/>
      <color theme="1"/>
      <name val="Verdana"/>
      <family val="2"/>
    </font>
    <font>
      <sz val="11"/>
      <color rgb="FF000000"/>
      <name val="Calibri"/>
      <family val="2"/>
    </font>
    <font>
      <sz val="8"/>
      <name val="Arial"/>
      <family val="2"/>
    </font>
    <font>
      <sz val="9"/>
      <color theme="1"/>
      <name val="Calibri"/>
      <family val="2"/>
      <scheme val="minor"/>
    </font>
    <font>
      <b/>
      <sz val="11"/>
      <color theme="1"/>
      <name val="Arial"/>
      <family val="2"/>
    </font>
    <font>
      <b/>
      <sz val="11"/>
      <color theme="1"/>
      <name val="Calibri"/>
      <family val="2"/>
      <scheme val="minor"/>
    </font>
    <font>
      <sz val="10"/>
      <color indexed="8"/>
      <name val="Arial"/>
      <family val="2"/>
    </font>
    <font>
      <sz val="10"/>
      <color theme="1"/>
      <name val="Arial"/>
      <family val="2"/>
    </font>
    <font>
      <b/>
      <sz val="16"/>
      <color rgb="FFFF0000"/>
      <name val="Calibri"/>
      <family val="2"/>
      <scheme val="minor"/>
    </font>
    <font>
      <b/>
      <u/>
      <sz val="12"/>
      <color theme="1"/>
      <name val="Arial"/>
      <family val="2"/>
    </font>
    <font>
      <b/>
      <sz val="18"/>
      <color theme="1"/>
      <name val="Arial"/>
      <family val="2"/>
    </font>
    <font>
      <sz val="16"/>
      <color theme="1"/>
      <name val="Arial"/>
      <family val="2"/>
    </font>
    <font>
      <b/>
      <sz val="14"/>
      <color theme="1"/>
      <name val="Arial"/>
      <family val="2"/>
    </font>
    <font>
      <b/>
      <sz val="14"/>
      <color rgb="FFFF0000"/>
      <name val="Arial"/>
      <family val="2"/>
    </font>
    <font>
      <b/>
      <sz val="14"/>
      <name val="Arial"/>
      <family val="2"/>
    </font>
    <font>
      <b/>
      <sz val="12"/>
      <name val="Arial"/>
      <family val="2"/>
    </font>
    <font>
      <i/>
      <sz val="11"/>
      <color theme="1"/>
      <name val="Calibri"/>
      <family val="2"/>
      <scheme val="minor"/>
    </font>
    <font>
      <b/>
      <sz val="11"/>
      <name val="Arial"/>
      <family val="2"/>
    </font>
    <font>
      <b/>
      <sz val="12"/>
      <color rgb="FFFF0000"/>
      <name val="Arial"/>
      <family val="2"/>
    </font>
    <font>
      <u/>
      <sz val="12"/>
      <color theme="10"/>
      <name val="Calibri"/>
      <family val="2"/>
      <scheme val="minor"/>
    </font>
    <font>
      <sz val="12"/>
      <color rgb="FF003855"/>
      <name val="Arial"/>
      <family val="2"/>
    </font>
    <font>
      <b/>
      <sz val="16"/>
      <color rgb="FFFF0000"/>
      <name val="Arial"/>
      <family val="2"/>
    </font>
    <font>
      <sz val="12"/>
      <color rgb="FF000000"/>
      <name val="Arial"/>
      <family val="2"/>
    </font>
    <font>
      <sz val="12"/>
      <color rgb="FF000000"/>
      <name val="Calibri"/>
      <family val="2"/>
      <scheme val="minor"/>
    </font>
    <font>
      <u/>
      <sz val="12"/>
      <color rgb="FF0563C1"/>
      <name val="Calibri"/>
      <family val="2"/>
      <scheme val="minor"/>
    </font>
    <font>
      <sz val="12"/>
      <color rgb="FF26282A"/>
      <name val="Arial"/>
      <family val="2"/>
    </font>
    <font>
      <b/>
      <sz val="12"/>
      <color rgb="FF000000"/>
      <name val="Arial"/>
      <family val="2"/>
    </font>
    <font>
      <sz val="12"/>
      <color theme="10"/>
      <name val="Calibri"/>
      <family val="2"/>
      <scheme val="minor"/>
    </font>
    <font>
      <b/>
      <sz val="20"/>
      <color theme="0"/>
      <name val="Arial"/>
      <family val="2"/>
    </font>
    <font>
      <b/>
      <sz val="20"/>
      <color rgb="FFFF0000"/>
      <name val="Calibri"/>
      <family val="2"/>
      <scheme val="minor"/>
    </font>
    <font>
      <b/>
      <sz val="13"/>
      <name val="Arial"/>
      <family val="2"/>
    </font>
    <font>
      <sz val="20"/>
      <color rgb="FFFF0000"/>
      <name val="Calibri"/>
      <family val="2"/>
      <scheme val="minor"/>
    </font>
    <font>
      <sz val="11"/>
      <color rgb="FFFF0000"/>
      <name val="Calibri"/>
      <family val="2"/>
      <scheme val="minor"/>
    </font>
    <font>
      <sz val="20"/>
      <color theme="1"/>
      <name val="Calibri"/>
      <family val="2"/>
      <scheme val="minor"/>
    </font>
    <font>
      <sz val="14"/>
      <color theme="1"/>
      <name val="Calibri"/>
      <family val="2"/>
      <scheme val="minor"/>
    </font>
    <font>
      <sz val="11"/>
      <color rgb="FF666666"/>
      <name val="Segoe UI"/>
      <family val="2"/>
    </font>
    <font>
      <sz val="11"/>
      <color theme="2" tint="-0.499984740745262"/>
      <name val="Segoe UI"/>
      <family val="2"/>
    </font>
    <font>
      <sz val="11"/>
      <color theme="2" tint="-0.499984740745262"/>
      <name val="Calibri"/>
      <family val="2"/>
      <scheme val="minor"/>
    </font>
    <font>
      <sz val="12"/>
      <color rgb="FF242424"/>
      <name val="Calibri"/>
      <family val="2"/>
      <scheme val="minor"/>
    </font>
    <font>
      <sz val="12"/>
      <name val="Calibri"/>
      <family val="2"/>
      <scheme val="minor"/>
    </font>
    <font>
      <u/>
      <sz val="11"/>
      <name val="Calibri"/>
      <family val="2"/>
      <scheme val="minor"/>
    </font>
    <font>
      <b/>
      <u/>
      <sz val="16"/>
      <color theme="1"/>
      <name val="Arial"/>
      <family val="2"/>
    </font>
    <font>
      <b/>
      <u/>
      <sz val="16"/>
      <color rgb="FFFF0000"/>
      <name val="Arial"/>
      <family val="2"/>
    </font>
    <font>
      <sz val="12"/>
      <color theme="1"/>
      <name val="Calibri"/>
      <family val="2"/>
    </font>
    <font>
      <b/>
      <sz val="12"/>
      <name val="Calibri"/>
      <family val="2"/>
    </font>
    <font>
      <b/>
      <sz val="10"/>
      <color theme="0"/>
      <name val="Calibri"/>
      <family val="2"/>
    </font>
    <font>
      <sz val="10"/>
      <color theme="1"/>
      <name val="Calibri"/>
      <family val="2"/>
    </font>
    <font>
      <sz val="11"/>
      <name val="Calibri"/>
      <family val="2"/>
    </font>
    <font>
      <sz val="12"/>
      <name val="Calibri"/>
      <family val="2"/>
    </font>
    <font>
      <sz val="11"/>
      <color rgb="FF000000"/>
      <name val="Aptos Narrow"/>
      <family val="2"/>
    </font>
    <font>
      <b/>
      <sz val="14"/>
      <color rgb="FF000000"/>
      <name val="Arial"/>
      <family val="2"/>
    </font>
    <font>
      <sz val="11"/>
      <color rgb="FF000000"/>
      <name val="Arial"/>
      <family val="2"/>
    </font>
    <font>
      <b/>
      <sz val="14"/>
      <color rgb="FFFFFFFF"/>
      <name val="Arial"/>
      <family val="2"/>
    </font>
    <font>
      <b/>
      <sz val="10"/>
      <color rgb="FFFF0000"/>
      <name val="Tahoma"/>
      <family val="2"/>
    </font>
    <font>
      <b/>
      <sz val="12"/>
      <color rgb="FF000000"/>
      <name val="Aptos Narrow"/>
      <family val="2"/>
    </font>
    <font>
      <b/>
      <sz val="11"/>
      <color rgb="FF000000"/>
      <name val="Arial"/>
      <family val="2"/>
    </font>
    <font>
      <b/>
      <sz val="11"/>
      <color rgb="FFFF0000"/>
      <name val="Arial"/>
      <family val="2"/>
    </font>
    <font>
      <b/>
      <sz val="11"/>
      <color rgb="FFFFFFFF"/>
      <name val="Aptos Narrow"/>
      <family val="2"/>
    </font>
    <font>
      <sz val="12"/>
      <color theme="0"/>
      <name val="Calibri"/>
      <family val="2"/>
      <scheme val="minor"/>
    </font>
    <font>
      <sz val="12"/>
      <color rgb="FFFF0000"/>
      <name val="Calibri"/>
      <family val="2"/>
      <scheme val="minor"/>
    </font>
    <font>
      <b/>
      <u/>
      <sz val="14"/>
      <color theme="1"/>
      <name val="Arial"/>
      <family val="2"/>
    </font>
    <font>
      <b/>
      <sz val="10"/>
      <color theme="1"/>
      <name val="Tahoma"/>
      <family val="2"/>
    </font>
    <font>
      <sz val="10"/>
      <color theme="1"/>
      <name val="Tahoma"/>
      <family val="2"/>
    </font>
    <font>
      <b/>
      <sz val="11"/>
      <name val="Aptos Narrow"/>
      <family val="2"/>
    </font>
    <font>
      <b/>
      <sz val="18"/>
      <color rgb="FFFF0000"/>
      <name val="Calibri"/>
      <family val="2"/>
      <scheme val="minor"/>
    </font>
    <font>
      <b/>
      <sz val="14"/>
      <name val="Calibri"/>
      <family val="2"/>
    </font>
  </fonts>
  <fills count="3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499984740745262"/>
        <bgColor indexed="64"/>
      </patternFill>
    </fill>
    <fill>
      <patternFill patternType="solid">
        <fgColor theme="2"/>
        <bgColor indexed="64"/>
      </patternFill>
    </fill>
    <fill>
      <patternFill patternType="solid">
        <fgColor theme="0" tint="-4.9989318521683403E-2"/>
        <bgColor indexed="64"/>
      </patternFill>
    </fill>
    <fill>
      <patternFill patternType="solid">
        <fgColor indexed="9"/>
        <bgColor indexed="64"/>
      </patternFill>
    </fill>
    <fill>
      <patternFill patternType="solid">
        <fgColor theme="0" tint="-0.14996795556505021"/>
        <bgColor indexed="64"/>
      </patternFill>
    </fill>
    <fill>
      <patternFill patternType="solid">
        <fgColor indexed="65"/>
        <bgColor indexed="64"/>
      </patternFill>
    </fill>
    <fill>
      <patternFill patternType="solid">
        <fgColor indexed="49"/>
      </patternFill>
    </fill>
    <fill>
      <patternFill patternType="solid">
        <fgColor theme="5" tint="0.59999389629810485"/>
        <bgColor indexed="64"/>
      </patternFill>
    </fill>
    <fill>
      <patternFill patternType="solid">
        <fgColor auto="1"/>
        <bgColor indexed="64"/>
      </patternFill>
    </fill>
    <fill>
      <patternFill patternType="solid">
        <fgColor rgb="FF002060"/>
        <bgColor indexed="64"/>
      </patternFill>
    </fill>
    <fill>
      <patternFill patternType="solid">
        <fgColor theme="8" tint="0.59999389629810485"/>
        <bgColor indexed="64"/>
      </patternFill>
    </fill>
    <fill>
      <patternFill patternType="solid">
        <fgColor indexed="65"/>
        <bgColor rgb="FF000000"/>
      </patternFill>
    </fill>
    <fill>
      <patternFill patternType="solid">
        <fgColor indexed="65"/>
        <bgColor theme="0"/>
      </patternFill>
    </fill>
    <fill>
      <patternFill patternType="solid">
        <fgColor rgb="FFFFC000"/>
        <bgColor theme="0"/>
      </patternFill>
    </fill>
    <fill>
      <patternFill patternType="solid">
        <fgColor theme="0"/>
        <bgColor theme="0"/>
      </patternFill>
    </fill>
    <fill>
      <patternFill patternType="solid">
        <fgColor auto="1"/>
        <bgColor theme="0"/>
      </patternFill>
    </fill>
    <fill>
      <patternFill patternType="solid">
        <fgColor theme="4" tint="0.79998168889431442"/>
        <bgColor theme="0"/>
      </patternFill>
    </fill>
    <fill>
      <patternFill patternType="solid">
        <fgColor theme="9" tint="0.39997558519241921"/>
        <bgColor indexed="64"/>
      </patternFill>
    </fill>
    <fill>
      <patternFill patternType="solid">
        <fgColor theme="4" tint="0.59999389629810485"/>
        <bgColor indexed="64"/>
      </patternFill>
    </fill>
    <fill>
      <patternFill patternType="solid">
        <fgColor rgb="FF0B3040"/>
        <bgColor rgb="FF0B3040"/>
      </patternFill>
    </fill>
    <fill>
      <patternFill patternType="solid">
        <fgColor rgb="FFCAEDFB"/>
        <bgColor rgb="FFCAEDFB"/>
      </patternFill>
    </fill>
    <fill>
      <patternFill patternType="solid">
        <fgColor rgb="FFFFFF00"/>
        <bgColor rgb="FFFFFF00"/>
      </patternFill>
    </fill>
    <fill>
      <patternFill patternType="solid">
        <fgColor rgb="FFF6C6AC"/>
        <bgColor rgb="FFF6C6AC"/>
      </patternFill>
    </fill>
    <fill>
      <patternFill patternType="solid">
        <fgColor rgb="FF92D050"/>
        <bgColor rgb="FF92D050"/>
      </patternFill>
    </fill>
    <fill>
      <patternFill patternType="solid">
        <fgColor rgb="FFFFC000"/>
        <bgColor rgb="FFFFC000"/>
      </patternFill>
    </fill>
    <fill>
      <patternFill patternType="solid">
        <fgColor rgb="FF61CBF3"/>
        <bgColor rgb="FF61CBF3"/>
      </patternFill>
    </fill>
    <fill>
      <patternFill patternType="solid">
        <fgColor theme="4" tint="0.79998168889431442"/>
        <bgColor indexed="64"/>
      </patternFill>
    </fill>
    <fill>
      <patternFill patternType="solid">
        <fgColor rgb="FFFFFF00"/>
        <bgColor theme="0"/>
      </patternFill>
    </fill>
  </fills>
  <borders count="60">
    <border>
      <left/>
      <right/>
      <top/>
      <bottom/>
      <diagonal/>
    </border>
    <border>
      <left/>
      <right/>
      <top style="thin">
        <color auto="1"/>
      </top>
      <bottom/>
      <diagonal/>
    </border>
    <border>
      <left style="thin">
        <color indexed="64"/>
      </left>
      <right/>
      <top/>
      <bottom/>
      <diagonal/>
    </border>
    <border>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8"/>
      </left>
      <right style="thin">
        <color indexed="64"/>
      </right>
      <top style="thin">
        <color indexed="8"/>
      </top>
      <bottom/>
      <diagonal/>
    </border>
    <border>
      <left style="medium">
        <color auto="1"/>
      </left>
      <right style="medium">
        <color auto="1"/>
      </right>
      <top style="medium">
        <color auto="1"/>
      </top>
      <bottom/>
      <diagonal/>
    </border>
    <border>
      <left style="medium">
        <color indexed="64"/>
      </left>
      <right style="medium">
        <color indexed="64"/>
      </right>
      <top/>
      <bottom/>
      <diagonal/>
    </border>
    <border>
      <left style="thin">
        <color indexed="18"/>
      </left>
      <right style="thin">
        <color indexed="18"/>
      </right>
      <top style="thin">
        <color indexed="18"/>
      </top>
      <bottom style="thin">
        <color indexed="18"/>
      </bottom>
      <diagonal/>
    </border>
    <border>
      <left style="thin">
        <color auto="1"/>
      </left>
      <right/>
      <top style="thin">
        <color auto="1"/>
      </top>
      <bottom/>
      <diagonal/>
    </border>
    <border>
      <left style="double">
        <color indexed="64"/>
      </left>
      <right/>
      <top style="double">
        <color indexed="64"/>
      </top>
      <bottom/>
      <diagonal/>
    </border>
    <border>
      <left/>
      <right style="thin">
        <color indexed="64"/>
      </right>
      <top/>
      <bottom style="thin">
        <color indexed="64"/>
      </bottom>
      <diagonal/>
    </border>
    <border>
      <left/>
      <right/>
      <top style="thin">
        <color auto="1"/>
      </top>
      <bottom style="thin">
        <color auto="1"/>
      </bottom>
      <diagonal/>
    </border>
    <border>
      <left style="thin">
        <color auto="1"/>
      </left>
      <right/>
      <top/>
      <bottom style="thin">
        <color auto="1"/>
      </bottom>
      <diagonal/>
    </border>
    <border>
      <left/>
      <right style="thin">
        <color indexed="64"/>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style="medium">
        <color rgb="FFC8C8C8"/>
      </top>
      <bottom/>
      <diagonal/>
    </border>
    <border>
      <left/>
      <right style="thick">
        <color auto="1"/>
      </right>
      <top/>
      <bottom/>
      <diagonal/>
    </border>
    <border>
      <left style="thick">
        <color auto="1"/>
      </left>
      <right/>
      <top/>
      <bottom/>
      <diagonal/>
    </border>
    <border>
      <left/>
      <right style="medium">
        <color rgb="FFC8C8C8"/>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double">
        <color auto="1"/>
      </right>
      <top style="double">
        <color auto="1"/>
      </top>
      <bottom/>
      <diagonal/>
    </border>
    <border>
      <left/>
      <right/>
      <top/>
      <bottom style="medium">
        <color auto="1"/>
      </bottom>
      <diagonal/>
    </border>
    <border>
      <left style="double">
        <color auto="1"/>
      </left>
      <right/>
      <top/>
      <bottom/>
      <diagonal/>
    </border>
    <border>
      <left/>
      <right style="double">
        <color auto="1"/>
      </right>
      <top/>
      <bottom/>
      <diagonal/>
    </border>
    <border>
      <left/>
      <right/>
      <top style="thin">
        <color auto="1"/>
      </top>
      <bottom style="thin">
        <color auto="1"/>
      </bottom>
      <diagonal/>
    </border>
    <border>
      <left/>
      <right/>
      <top style="medium">
        <color auto="1"/>
      </top>
      <bottom style="medium">
        <color auto="1"/>
      </bottom>
      <diagonal/>
    </border>
    <border>
      <left/>
      <right/>
      <top style="double">
        <color auto="1"/>
      </top>
      <bottom/>
      <diagonal/>
    </border>
    <border>
      <left style="double">
        <color auto="1"/>
      </left>
      <right/>
      <top/>
      <bottom style="double">
        <color auto="1"/>
      </bottom>
      <diagonal/>
    </border>
    <border>
      <left/>
      <right style="double">
        <color auto="1"/>
      </right>
      <top/>
      <bottom style="double">
        <color auto="1"/>
      </bottom>
      <diagonal/>
    </border>
    <border>
      <left/>
      <right/>
      <top/>
      <bottom style="double">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double">
        <color auto="1"/>
      </left>
      <right style="double">
        <color auto="1"/>
      </right>
      <top style="double">
        <color auto="1"/>
      </top>
      <bottom style="double">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double">
        <color rgb="FF000000"/>
      </left>
      <right/>
      <top/>
      <bottom/>
      <diagonal/>
    </border>
    <border>
      <left/>
      <right style="double">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s>
  <cellStyleXfs count="17">
    <xf numFmtId="0" fontId="0" fillId="0" borderId="0"/>
    <xf numFmtId="43" fontId="1" fillId="0" borderId="0" applyFont="0" applyFill="0" applyBorder="0" applyAlignment="0" applyProtection="0"/>
    <xf numFmtId="0" fontId="3" fillId="0" borderId="0" applyNumberFormat="0" applyFill="0" applyBorder="0" applyAlignment="0" applyProtection="0"/>
    <xf numFmtId="0" fontId="12" fillId="0" borderId="0"/>
    <xf numFmtId="0" fontId="27" fillId="0" borderId="0"/>
    <xf numFmtId="164" fontId="26" fillId="0" borderId="0"/>
    <xf numFmtId="0" fontId="12" fillId="0" borderId="0"/>
    <xf numFmtId="166" fontId="28" fillId="0" borderId="0" applyBorder="0" applyProtection="0"/>
    <xf numFmtId="4" fontId="29" fillId="10" borderId="11" applyNumberFormat="0" applyProtection="0">
      <alignment horizontal="left" vertical="center" indent="1"/>
    </xf>
    <xf numFmtId="0" fontId="30" fillId="0" borderId="0"/>
    <xf numFmtId="3" fontId="26" fillId="0" borderId="0"/>
    <xf numFmtId="9" fontId="26" fillId="0" borderId="0"/>
    <xf numFmtId="0" fontId="1" fillId="0" borderId="0"/>
    <xf numFmtId="0" fontId="33" fillId="0" borderId="0">
      <alignment vertical="top"/>
    </xf>
    <xf numFmtId="0" fontId="12" fillId="0" borderId="0"/>
    <xf numFmtId="0" fontId="3" fillId="0" borderId="0" applyNumberFormat="0" applyFill="0" applyBorder="0" applyAlignment="0" applyProtection="0"/>
    <xf numFmtId="0" fontId="3" fillId="0" borderId="0" applyNumberFormat="0" applyFill="0" applyBorder="0" applyAlignment="0" applyProtection="0"/>
  </cellStyleXfs>
  <cellXfs count="451">
    <xf numFmtId="0" fontId="0" fillId="0" borderId="0" xfId="0"/>
    <xf numFmtId="0" fontId="2" fillId="4" borderId="5" xfId="0" applyFont="1" applyFill="1" applyBorder="1" applyAlignment="1">
      <alignment horizontal="center" vertical="center"/>
    </xf>
    <xf numFmtId="0" fontId="0" fillId="2" borderId="0" xfId="0" applyFill="1"/>
    <xf numFmtId="0" fontId="6" fillId="3" borderId="0" xfId="0" applyFont="1" applyFill="1"/>
    <xf numFmtId="0" fontId="11" fillId="0" borderId="0" xfId="0" applyFont="1"/>
    <xf numFmtId="0" fontId="6" fillId="0" borderId="0" xfId="0" applyFont="1"/>
    <xf numFmtId="0" fontId="0" fillId="3" borderId="0" xfId="0" applyFill="1"/>
    <xf numFmtId="0" fontId="9" fillId="3" borderId="0" xfId="3" applyFont="1" applyFill="1" applyAlignment="1">
      <alignment vertical="center"/>
    </xf>
    <xf numFmtId="0" fontId="23" fillId="5" borderId="0" xfId="3" applyFont="1" applyFill="1" applyAlignment="1">
      <alignment horizontal="left" vertical="center"/>
    </xf>
    <xf numFmtId="164" fontId="23" fillId="5" borderId="0" xfId="3" applyNumberFormat="1" applyFont="1" applyFill="1" applyAlignment="1">
      <alignment horizontal="left" vertical="center"/>
    </xf>
    <xf numFmtId="0" fontId="23" fillId="5" borderId="0" xfId="3" applyFont="1" applyFill="1" applyAlignment="1">
      <alignment vertical="center"/>
    </xf>
    <xf numFmtId="0" fontId="23" fillId="6" borderId="7" xfId="3" applyFont="1" applyFill="1" applyBorder="1" applyAlignment="1">
      <alignment horizontal="center" vertical="center"/>
    </xf>
    <xf numFmtId="0" fontId="20" fillId="7" borderId="7" xfId="3" applyFont="1" applyFill="1" applyBorder="1" applyAlignment="1">
      <alignment horizontal="center" vertical="center"/>
    </xf>
    <xf numFmtId="165" fontId="23" fillId="2" borderId="7" xfId="3" applyNumberFormat="1" applyFont="1" applyFill="1" applyBorder="1" applyAlignment="1">
      <alignment vertical="center"/>
    </xf>
    <xf numFmtId="0" fontId="20" fillId="8" borderId="6" xfId="3" applyFont="1" applyFill="1" applyBorder="1" applyAlignment="1">
      <alignment horizontal="center" vertical="center"/>
    </xf>
    <xf numFmtId="0" fontId="20" fillId="8" borderId="3" xfId="3" applyFont="1" applyFill="1" applyBorder="1" applyAlignment="1">
      <alignment horizontal="center" vertical="center"/>
    </xf>
    <xf numFmtId="165" fontId="20" fillId="8" borderId="8" xfId="1" applyNumberFormat="1" applyFont="1" applyFill="1" applyBorder="1" applyAlignment="1">
      <alignment horizontal="center" vertical="center"/>
    </xf>
    <xf numFmtId="43" fontId="20" fillId="6" borderId="9" xfId="1" applyFont="1" applyFill="1" applyBorder="1" applyAlignment="1">
      <alignment vertical="center"/>
    </xf>
    <xf numFmtId="43" fontId="20" fillId="6" borderId="10" xfId="1" applyFont="1" applyFill="1" applyBorder="1" applyAlignment="1">
      <alignment vertical="center"/>
    </xf>
    <xf numFmtId="165" fontId="9" fillId="7" borderId="10" xfId="3" applyNumberFormat="1" applyFont="1" applyFill="1" applyBorder="1" applyAlignment="1">
      <alignment horizontal="center" vertical="center"/>
    </xf>
    <xf numFmtId="0" fontId="0" fillId="9" borderId="0" xfId="0" applyFill="1"/>
    <xf numFmtId="0" fontId="13" fillId="9" borderId="0" xfId="3" applyFont="1" applyFill="1" applyAlignment="1">
      <alignment horizontal="right" vertical="center"/>
    </xf>
    <xf numFmtId="0" fontId="14" fillId="9" borderId="0" xfId="3" applyFont="1" applyFill="1" applyAlignment="1">
      <alignment vertical="center"/>
    </xf>
    <xf numFmtId="0" fontId="15" fillId="9" borderId="0" xfId="3" applyFont="1" applyFill="1" applyAlignment="1">
      <alignment vertical="center"/>
    </xf>
    <xf numFmtId="0" fontId="16" fillId="9" borderId="0" xfId="3" applyFont="1" applyFill="1" applyAlignment="1">
      <alignment horizontal="center" vertical="center"/>
    </xf>
    <xf numFmtId="0" fontId="17" fillId="9" borderId="0" xfId="3" applyFont="1" applyFill="1" applyAlignment="1">
      <alignment horizontal="right" vertical="center"/>
    </xf>
    <xf numFmtId="0" fontId="18" fillId="9" borderId="0" xfId="3" applyFont="1" applyFill="1" applyAlignment="1">
      <alignment vertical="center"/>
    </xf>
    <xf numFmtId="0" fontId="19" fillId="9" borderId="0" xfId="3" applyFont="1" applyFill="1" applyAlignment="1">
      <alignment horizontal="center" vertical="center"/>
    </xf>
    <xf numFmtId="0" fontId="20" fillId="9" borderId="0" xfId="3" applyFont="1" applyFill="1" applyAlignment="1">
      <alignment vertical="center"/>
    </xf>
    <xf numFmtId="0" fontId="21" fillId="9" borderId="0" xfId="3" applyFont="1" applyFill="1" applyAlignment="1">
      <alignment vertical="center"/>
    </xf>
    <xf numFmtId="0" fontId="22" fillId="9" borderId="0" xfId="3" applyFont="1" applyFill="1" applyAlignment="1">
      <alignment vertical="center"/>
    </xf>
    <xf numFmtId="0" fontId="20" fillId="9" borderId="0" xfId="3" applyFont="1" applyFill="1" applyAlignment="1">
      <alignment horizontal="right" vertical="center"/>
    </xf>
    <xf numFmtId="0" fontId="24" fillId="9" borderId="0" xfId="3" applyFont="1" applyFill="1" applyAlignment="1">
      <alignment vertical="center"/>
    </xf>
    <xf numFmtId="0" fontId="23" fillId="9" borderId="0" xfId="3" applyFont="1" applyFill="1" applyAlignment="1">
      <alignment vertical="center"/>
    </xf>
    <xf numFmtId="0" fontId="25" fillId="9" borderId="0" xfId="3" applyFont="1" applyFill="1" applyAlignment="1">
      <alignment vertical="center"/>
    </xf>
    <xf numFmtId="3" fontId="14" fillId="9" borderId="0" xfId="3" applyNumberFormat="1" applyFont="1" applyFill="1" applyAlignment="1">
      <alignment horizontal="center" vertical="center"/>
    </xf>
    <xf numFmtId="0" fontId="0" fillId="9" borderId="0" xfId="0" applyFill="1" applyAlignment="1">
      <alignment horizontal="center"/>
    </xf>
    <xf numFmtId="0" fontId="10" fillId="0" borderId="0" xfId="0" applyFont="1"/>
    <xf numFmtId="0" fontId="7" fillId="0" borderId="0" xfId="0" applyFont="1"/>
    <xf numFmtId="0" fontId="6" fillId="0" borderId="0" xfId="0" applyFont="1" applyAlignment="1">
      <alignment horizontal="right"/>
    </xf>
    <xf numFmtId="0" fontId="34" fillId="12" borderId="0" xfId="0" applyFont="1" applyFill="1"/>
    <xf numFmtId="0" fontId="0" fillId="12" borderId="0" xfId="0" applyFill="1"/>
    <xf numFmtId="0" fontId="4" fillId="12" borderId="12" xfId="0" applyFont="1" applyFill="1" applyBorder="1"/>
    <xf numFmtId="0" fontId="34" fillId="12" borderId="1" xfId="0" applyFont="1" applyFill="1" applyBorder="1"/>
    <xf numFmtId="0" fontId="34" fillId="12" borderId="17" xfId="0" applyFont="1" applyFill="1" applyBorder="1"/>
    <xf numFmtId="0" fontId="34" fillId="12" borderId="4" xfId="0" applyFont="1" applyFill="1" applyBorder="1"/>
    <xf numFmtId="0" fontId="5" fillId="12" borderId="2" xfId="0" applyFont="1" applyFill="1" applyBorder="1" applyAlignment="1">
      <alignment horizontal="left" vertical="center"/>
    </xf>
    <xf numFmtId="0" fontId="34" fillId="12" borderId="2" xfId="0" applyFont="1" applyFill="1" applyBorder="1" applyAlignment="1">
      <alignment vertical="center"/>
    </xf>
    <xf numFmtId="0" fontId="7" fillId="12" borderId="0" xfId="0" applyFont="1" applyFill="1"/>
    <xf numFmtId="0" fontId="4" fillId="12" borderId="2" xfId="0" applyFont="1" applyFill="1" applyBorder="1"/>
    <xf numFmtId="0" fontId="7" fillId="12" borderId="4" xfId="0" applyFont="1" applyFill="1" applyBorder="1"/>
    <xf numFmtId="0" fontId="4" fillId="12" borderId="0" xfId="0" applyFont="1" applyFill="1"/>
    <xf numFmtId="0" fontId="7" fillId="12" borderId="0" xfId="0" applyFont="1" applyFill="1" applyAlignment="1">
      <alignment horizontal="left"/>
    </xf>
    <xf numFmtId="0" fontId="0" fillId="12" borderId="16" xfId="0" applyFill="1" applyBorder="1"/>
    <xf numFmtId="0" fontId="0" fillId="12" borderId="3" xfId="0" applyFill="1" applyBorder="1"/>
    <xf numFmtId="0" fontId="4" fillId="12" borderId="3" xfId="0" applyFont="1" applyFill="1" applyBorder="1"/>
    <xf numFmtId="0" fontId="7" fillId="12" borderId="3" xfId="0" applyFont="1" applyFill="1" applyBorder="1"/>
    <xf numFmtId="0" fontId="7" fillId="12" borderId="14" xfId="0" applyFont="1" applyFill="1" applyBorder="1"/>
    <xf numFmtId="0" fontId="7" fillId="2" borderId="2" xfId="0" applyFont="1" applyFill="1" applyBorder="1" applyAlignment="1">
      <alignment vertical="center"/>
    </xf>
    <xf numFmtId="0" fontId="0" fillId="12" borderId="2" xfId="0" applyFill="1" applyBorder="1"/>
    <xf numFmtId="0" fontId="7" fillId="2" borderId="0" xfId="0" applyFont="1" applyFill="1"/>
    <xf numFmtId="0" fontId="4" fillId="12" borderId="4" xfId="0" applyFont="1" applyFill="1" applyBorder="1"/>
    <xf numFmtId="0" fontId="7" fillId="12" borderId="0" xfId="0" applyFont="1" applyFill="1" applyAlignment="1">
      <alignment horizontal="center" vertical="center" wrapText="1"/>
    </xf>
    <xf numFmtId="0" fontId="7" fillId="12" borderId="2" xfId="0" applyFont="1" applyFill="1" applyBorder="1"/>
    <xf numFmtId="0" fontId="32" fillId="2" borderId="2" xfId="0" applyFont="1" applyFill="1" applyBorder="1"/>
    <xf numFmtId="0" fontId="36" fillId="12" borderId="12" xfId="0" applyFont="1" applyFill="1" applyBorder="1" applyAlignment="1">
      <alignment vertical="center"/>
    </xf>
    <xf numFmtId="0" fontId="7" fillId="12" borderId="1" xfId="0" applyFont="1" applyFill="1" applyBorder="1"/>
    <xf numFmtId="0" fontId="7" fillId="12" borderId="17" xfId="0" applyFont="1" applyFill="1" applyBorder="1"/>
    <xf numFmtId="0" fontId="46" fillId="12" borderId="0" xfId="15" applyFont="1" applyFill="1" applyBorder="1"/>
    <xf numFmtId="0" fontId="46" fillId="12" borderId="4" xfId="15" applyFont="1" applyFill="1" applyBorder="1"/>
    <xf numFmtId="0" fontId="4" fillId="0" borderId="0" xfId="0" applyFont="1"/>
    <xf numFmtId="0" fontId="49" fillId="15" borderId="0" xfId="0" applyFont="1" applyFill="1"/>
    <xf numFmtId="0" fontId="50" fillId="15" borderId="0" xfId="0" applyFont="1" applyFill="1"/>
    <xf numFmtId="0" fontId="11" fillId="12" borderId="0" xfId="0" applyFont="1" applyFill="1"/>
    <xf numFmtId="0" fontId="51" fillId="15" borderId="0" xfId="0" applyFont="1" applyFill="1" applyAlignment="1">
      <alignment horizontal="left"/>
    </xf>
    <xf numFmtId="0" fontId="47" fillId="15" borderId="0" xfId="0" applyFont="1" applyFill="1" applyAlignment="1">
      <alignment horizontal="left"/>
    </xf>
    <xf numFmtId="0" fontId="53" fillId="15" borderId="0" xfId="0" applyFont="1" applyFill="1"/>
    <xf numFmtId="0" fontId="54" fillId="12" borderId="0" xfId="15" applyFont="1" applyFill="1" applyBorder="1"/>
    <xf numFmtId="0" fontId="7" fillId="2" borderId="4" xfId="0" applyFont="1" applyFill="1" applyBorder="1"/>
    <xf numFmtId="0" fontId="7" fillId="12" borderId="2" xfId="0" applyFont="1" applyFill="1" applyBorder="1" applyAlignment="1">
      <alignment horizontal="left" vertical="center"/>
    </xf>
    <xf numFmtId="0" fontId="8" fillId="2" borderId="16" xfId="0" applyFont="1" applyFill="1" applyBorder="1"/>
    <xf numFmtId="0" fontId="55" fillId="0" borderId="2" xfId="0" applyFont="1" applyBorder="1" applyAlignment="1">
      <alignment horizontal="center" vertical="center"/>
    </xf>
    <xf numFmtId="0" fontId="55" fillId="0" borderId="0" xfId="0" applyFont="1" applyAlignment="1">
      <alignment horizontal="center" vertical="center"/>
    </xf>
    <xf numFmtId="0" fontId="55" fillId="0" borderId="4" xfId="0" applyFont="1" applyBorder="1" applyAlignment="1">
      <alignment horizontal="center" vertical="center"/>
    </xf>
    <xf numFmtId="0" fontId="4" fillId="12" borderId="2" xfId="0" applyFont="1" applyFill="1" applyBorder="1" applyAlignment="1">
      <alignment horizontal="left" indent="1"/>
    </xf>
    <xf numFmtId="0" fontId="4" fillId="12" borderId="2" xfId="0" applyFont="1" applyFill="1" applyBorder="1" applyAlignment="1">
      <alignment horizontal="left" vertical="center" indent="1"/>
    </xf>
    <xf numFmtId="0" fontId="7" fillId="12" borderId="2" xfId="0" applyFont="1" applyFill="1" applyBorder="1" applyAlignment="1">
      <alignment horizontal="left" vertical="center" indent="1"/>
    </xf>
    <xf numFmtId="0" fontId="11" fillId="12" borderId="2" xfId="0" applyFont="1" applyFill="1" applyBorder="1" applyAlignment="1">
      <alignment horizontal="left" indent="1"/>
    </xf>
    <xf numFmtId="0" fontId="7" fillId="12" borderId="2" xfId="0" applyFont="1" applyFill="1" applyBorder="1" applyAlignment="1">
      <alignment horizontal="left" indent="1"/>
    </xf>
    <xf numFmtId="0" fontId="8" fillId="12" borderId="2" xfId="0" applyFont="1" applyFill="1" applyBorder="1" applyAlignment="1">
      <alignment horizontal="left" vertical="center" indent="1"/>
    </xf>
    <xf numFmtId="0" fontId="43" fillId="12" borderId="2" xfId="0" applyFont="1" applyFill="1" applyBorder="1" applyAlignment="1">
      <alignment horizontal="left" indent="1"/>
    </xf>
    <xf numFmtId="0" fontId="44" fillId="0" borderId="2" xfId="0" applyFont="1" applyBorder="1" applyAlignment="1">
      <alignment horizontal="left" vertical="center" indent="1"/>
    </xf>
    <xf numFmtId="0" fontId="31" fillId="0" borderId="2" xfId="0" applyFont="1" applyBorder="1" applyAlignment="1">
      <alignment horizontal="left" vertical="center" indent="1"/>
    </xf>
    <xf numFmtId="0" fontId="49" fillId="15" borderId="2" xfId="0" applyFont="1" applyFill="1" applyBorder="1" applyAlignment="1">
      <alignment horizontal="left" vertical="center" indent="1"/>
    </xf>
    <xf numFmtId="0" fontId="49" fillId="15" borderId="2" xfId="0" applyFont="1" applyFill="1" applyBorder="1" applyAlignment="1">
      <alignment horizontal="left" vertical="center" indent="3"/>
    </xf>
    <xf numFmtId="0" fontId="51" fillId="15" borderId="2" xfId="0" applyFont="1" applyFill="1" applyBorder="1" applyAlignment="1">
      <alignment horizontal="left" vertical="center" indent="3"/>
    </xf>
    <xf numFmtId="0" fontId="52" fillId="0" borderId="2" xfId="0" applyFont="1" applyBorder="1" applyAlignment="1">
      <alignment horizontal="left" vertical="center" indent="1"/>
    </xf>
    <xf numFmtId="0" fontId="4" fillId="0" borderId="2" xfId="0" applyFont="1" applyBorder="1" applyAlignment="1">
      <alignment horizontal="left" vertical="center" indent="1"/>
    </xf>
    <xf numFmtId="0" fontId="4" fillId="0" borderId="2" xfId="0" applyFont="1" applyBorder="1" applyAlignment="1">
      <alignment horizontal="left" indent="1"/>
    </xf>
    <xf numFmtId="0" fontId="4" fillId="0" borderId="4" xfId="0" applyFont="1" applyBorder="1"/>
    <xf numFmtId="0" fontId="7" fillId="0" borderId="4" xfId="0" applyFont="1" applyBorder="1"/>
    <xf numFmtId="0" fontId="4" fillId="3" borderId="2" xfId="0" applyFont="1" applyFill="1" applyBorder="1" applyAlignment="1">
      <alignment horizontal="left" vertical="center" indent="1"/>
    </xf>
    <xf numFmtId="0" fontId="4" fillId="3" borderId="0" xfId="0" applyFont="1" applyFill="1"/>
    <xf numFmtId="0" fontId="4" fillId="3" borderId="4" xfId="0" applyFont="1" applyFill="1" applyBorder="1"/>
    <xf numFmtId="0" fontId="45" fillId="0" borderId="0" xfId="0" applyFont="1" applyAlignment="1">
      <alignment horizontal="center" vertical="center"/>
    </xf>
    <xf numFmtId="0" fontId="3" fillId="12" borderId="0" xfId="2" applyFill="1"/>
    <xf numFmtId="0" fontId="58" fillId="2" borderId="0" xfId="0" applyFont="1" applyFill="1"/>
    <xf numFmtId="0" fontId="59" fillId="2" borderId="0" xfId="0" applyFont="1" applyFill="1"/>
    <xf numFmtId="0" fontId="60" fillId="2" borderId="0" xfId="0" applyFont="1" applyFill="1"/>
    <xf numFmtId="0" fontId="61" fillId="2" borderId="0" xfId="0" applyFont="1" applyFill="1"/>
    <xf numFmtId="0" fontId="5" fillId="2" borderId="3" xfId="0" applyFont="1" applyFill="1" applyBorder="1"/>
    <xf numFmtId="0" fontId="0" fillId="2" borderId="3" xfId="0" applyFill="1" applyBorder="1"/>
    <xf numFmtId="0" fontId="3" fillId="0" borderId="20" xfId="2" applyFill="1" applyBorder="1" applyAlignment="1">
      <alignment horizontal="left" vertical="center"/>
    </xf>
    <xf numFmtId="0" fontId="66" fillId="16" borderId="0" xfId="3" applyFont="1" applyFill="1"/>
    <xf numFmtId="0" fontId="66" fillId="16" borderId="0" xfId="3" applyFont="1" applyFill="1" applyAlignment="1">
      <alignment horizontal="center"/>
    </xf>
    <xf numFmtId="1" fontId="66" fillId="16" borderId="0" xfId="3" applyNumberFormat="1" applyFont="1" applyFill="1" applyAlignment="1">
      <alignment horizontal="center"/>
    </xf>
    <xf numFmtId="1" fontId="66" fillId="16" borderId="0" xfId="3" applyNumberFormat="1" applyFont="1" applyFill="1"/>
    <xf numFmtId="2" fontId="66" fillId="16" borderId="0" xfId="3" applyNumberFormat="1" applyFont="1" applyFill="1"/>
    <xf numFmtId="0" fontId="66" fillId="16" borderId="0" xfId="3" applyFont="1" applyFill="1" applyAlignment="1">
      <alignment horizontal="center" wrapText="1"/>
    </xf>
    <xf numFmtId="0" fontId="24" fillId="16" borderId="0" xfId="3" applyFont="1" applyFill="1" applyAlignment="1">
      <alignment horizontal="center"/>
    </xf>
    <xf numFmtId="1" fontId="24" fillId="16" borderId="0" xfId="3" applyNumberFormat="1" applyFont="1" applyFill="1" applyAlignment="1">
      <alignment horizontal="center"/>
    </xf>
    <xf numFmtId="0" fontId="24" fillId="16" borderId="3" xfId="3" applyFont="1" applyFill="1" applyBorder="1" applyAlignment="1">
      <alignment horizontal="right"/>
    </xf>
    <xf numFmtId="14" fontId="24" fillId="16" borderId="3" xfId="3" applyNumberFormat="1" applyFont="1" applyFill="1" applyBorder="1" applyAlignment="1" applyProtection="1">
      <alignment horizontal="center"/>
      <protection locked="0"/>
    </xf>
    <xf numFmtId="0" fontId="24" fillId="16" borderId="0" xfId="3" applyFont="1" applyFill="1" applyAlignment="1">
      <alignment horizontal="right"/>
    </xf>
    <xf numFmtId="0" fontId="24" fillId="17" borderId="31" xfId="3" applyFont="1" applyFill="1" applyBorder="1" applyAlignment="1" applyProtection="1">
      <alignment horizontal="center"/>
      <protection locked="0"/>
    </xf>
    <xf numFmtId="0" fontId="24" fillId="16" borderId="34" xfId="3" applyFont="1" applyFill="1" applyBorder="1" applyAlignment="1">
      <alignment horizontal="right"/>
    </xf>
    <xf numFmtId="0" fontId="24" fillId="16" borderId="35" xfId="3" applyFont="1" applyFill="1" applyBorder="1" applyAlignment="1">
      <alignment horizontal="center"/>
    </xf>
    <xf numFmtId="1" fontId="66" fillId="16" borderId="0" xfId="3" applyNumberFormat="1" applyFont="1" applyFill="1" applyAlignment="1" applyProtection="1">
      <alignment horizontal="left"/>
      <protection locked="0"/>
    </xf>
    <xf numFmtId="0" fontId="24" fillId="16" borderId="0" xfId="3" applyFont="1" applyFill="1"/>
    <xf numFmtId="0" fontId="24" fillId="16" borderId="0" xfId="3" applyFont="1" applyFill="1" applyAlignment="1">
      <alignment horizontal="right" vertical="center"/>
    </xf>
    <xf numFmtId="1" fontId="24" fillId="16" borderId="35" xfId="3" applyNumberFormat="1" applyFont="1" applyFill="1" applyBorder="1" applyAlignment="1">
      <alignment horizontal="center" vertical="center"/>
    </xf>
    <xf numFmtId="0" fontId="24" fillId="16" borderId="3" xfId="3" applyFont="1" applyFill="1" applyBorder="1" applyAlignment="1">
      <alignment horizontal="right" vertical="center" wrapText="1"/>
    </xf>
    <xf numFmtId="0" fontId="24" fillId="16" borderId="35" xfId="3" applyFont="1" applyFill="1" applyBorder="1" applyAlignment="1" applyProtection="1">
      <alignment horizontal="center"/>
      <protection locked="0"/>
    </xf>
    <xf numFmtId="1" fontId="24" fillId="16" borderId="0" xfId="3" applyNumberFormat="1" applyFont="1" applyFill="1" applyAlignment="1" applyProtection="1">
      <alignment horizontal="left"/>
      <protection locked="0"/>
    </xf>
    <xf numFmtId="0" fontId="24" fillId="16" borderId="0" xfId="3" applyFont="1" applyFill="1" applyAlignment="1">
      <alignment horizontal="right" wrapText="1"/>
    </xf>
    <xf numFmtId="1" fontId="24" fillId="16" borderId="0" xfId="3" applyNumberFormat="1" applyFont="1" applyFill="1" applyAlignment="1" applyProtection="1">
      <alignment horizontal="center" wrapText="1"/>
      <protection locked="0"/>
    </xf>
    <xf numFmtId="1" fontId="24" fillId="16" borderId="0" xfId="3" applyNumberFormat="1" applyFont="1" applyFill="1" applyAlignment="1" applyProtection="1">
      <alignment horizontal="left" wrapText="1"/>
      <protection locked="0"/>
    </xf>
    <xf numFmtId="167" fontId="24" fillId="16" borderId="0" xfId="3" applyNumberFormat="1" applyFont="1" applyFill="1" applyAlignment="1">
      <alignment horizontal="center"/>
    </xf>
    <xf numFmtId="1" fontId="24" fillId="16" borderId="0" xfId="3" applyNumberFormat="1" applyFont="1" applyFill="1" applyAlignment="1" applyProtection="1">
      <alignment horizontal="center"/>
      <protection locked="0"/>
    </xf>
    <xf numFmtId="0" fontId="42" fillId="2" borderId="2" xfId="0" applyFont="1" applyFill="1" applyBorder="1" applyAlignment="1">
      <alignment horizontal="left" indent="1"/>
    </xf>
    <xf numFmtId="1" fontId="24" fillId="16" borderId="3" xfId="3" applyNumberFormat="1" applyFont="1" applyFill="1" applyBorder="1" applyAlignment="1" applyProtection="1">
      <alignment horizontal="center" vertical="center" wrapText="1"/>
      <protection locked="0"/>
    </xf>
    <xf numFmtId="0" fontId="70" fillId="0" borderId="0" xfId="0" applyFont="1"/>
    <xf numFmtId="0" fontId="24" fillId="16" borderId="13" xfId="3" applyFont="1" applyFill="1" applyBorder="1"/>
    <xf numFmtId="0" fontId="24" fillId="16" borderId="30" xfId="3" applyFont="1" applyFill="1" applyBorder="1"/>
    <xf numFmtId="0" fontId="24" fillId="16" borderId="32" xfId="3" applyFont="1" applyFill="1" applyBorder="1"/>
    <xf numFmtId="0" fontId="24" fillId="16" borderId="33" xfId="3" applyFont="1" applyFill="1" applyBorder="1"/>
    <xf numFmtId="0" fontId="66" fillId="16" borderId="33" xfId="3" applyFont="1" applyFill="1" applyBorder="1"/>
    <xf numFmtId="0" fontId="23" fillId="16" borderId="37" xfId="3" applyFont="1" applyFill="1" applyBorder="1" applyAlignment="1">
      <alignment horizontal="left" wrapText="1"/>
    </xf>
    <xf numFmtId="0" fontId="72" fillId="13" borderId="0" xfId="0" applyFont="1" applyFill="1" applyAlignment="1">
      <alignment horizontal="center"/>
    </xf>
    <xf numFmtId="0" fontId="73" fillId="0" borderId="0" xfId="0" applyFont="1"/>
    <xf numFmtId="164" fontId="24" fillId="2" borderId="0" xfId="5" applyFont="1" applyFill="1" applyAlignment="1" applyProtection="1">
      <alignment horizontal="center" vertical="center" wrapText="1"/>
      <protection locked="0"/>
    </xf>
    <xf numFmtId="0" fontId="66" fillId="18" borderId="0" xfId="3" applyFont="1" applyFill="1" applyAlignment="1">
      <alignment horizontal="center"/>
    </xf>
    <xf numFmtId="0" fontId="73" fillId="0" borderId="0" xfId="0" applyFont="1" applyAlignment="1">
      <alignment horizontal="center"/>
    </xf>
    <xf numFmtId="1" fontId="24" fillId="16" borderId="3" xfId="3" applyNumberFormat="1" applyFont="1" applyFill="1" applyBorder="1" applyAlignment="1" applyProtection="1">
      <alignment horizontal="left"/>
      <protection locked="0"/>
    </xf>
    <xf numFmtId="1" fontId="24" fillId="9" borderId="3" xfId="3" applyNumberFormat="1" applyFont="1" applyFill="1" applyBorder="1" applyAlignment="1" applyProtection="1">
      <alignment horizontal="center"/>
      <protection locked="0"/>
    </xf>
    <xf numFmtId="164" fontId="24" fillId="9" borderId="37" xfId="5" applyFont="1" applyFill="1" applyBorder="1" applyAlignment="1" applyProtection="1">
      <alignment horizontal="center" vertical="center" wrapText="1"/>
      <protection locked="0"/>
    </xf>
    <xf numFmtId="0" fontId="66" fillId="9" borderId="36" xfId="3" applyFont="1" applyFill="1" applyBorder="1" applyAlignment="1" applyProtection="1">
      <alignment horizontal="centerContinuous"/>
      <protection locked="0"/>
    </xf>
    <xf numFmtId="1" fontId="66" fillId="9" borderId="30" xfId="3" applyNumberFormat="1" applyFont="1" applyFill="1" applyBorder="1" applyAlignment="1" applyProtection="1">
      <alignment horizontal="centerContinuous"/>
      <protection locked="0"/>
    </xf>
    <xf numFmtId="0" fontId="24" fillId="9" borderId="0" xfId="3" applyFont="1" applyFill="1" applyAlignment="1">
      <alignment horizontal="left" wrapText="1"/>
    </xf>
    <xf numFmtId="0" fontId="66" fillId="9" borderId="0" xfId="3" applyFont="1" applyFill="1"/>
    <xf numFmtId="0" fontId="75" fillId="9" borderId="0" xfId="0" applyFont="1" applyFill="1" applyAlignment="1">
      <alignment horizontal="centerContinuous" vertical="center" wrapText="1"/>
    </xf>
    <xf numFmtId="0" fontId="75" fillId="9" borderId="33" xfId="0" applyFont="1" applyFill="1" applyBorder="1" applyAlignment="1">
      <alignment horizontal="centerContinuous" vertical="center" wrapText="1"/>
    </xf>
    <xf numFmtId="0" fontId="74" fillId="16" borderId="38" xfId="0" applyFont="1" applyFill="1" applyBorder="1" applyAlignment="1">
      <alignment horizontal="left" wrapText="1"/>
    </xf>
    <xf numFmtId="0" fontId="74" fillId="9" borderId="0" xfId="0" applyFont="1" applyFill="1" applyAlignment="1">
      <alignment horizontal="centerContinuous" vertical="center" wrapText="1"/>
    </xf>
    <xf numFmtId="0" fontId="74" fillId="9" borderId="33" xfId="0" applyFont="1" applyFill="1" applyBorder="1" applyAlignment="1">
      <alignment horizontal="centerContinuous" vertical="center" wrapText="1"/>
    </xf>
    <xf numFmtId="1" fontId="74" fillId="9" borderId="38" xfId="0" applyNumberFormat="1" applyFont="1" applyFill="1" applyBorder="1" applyAlignment="1">
      <alignment horizontal="left" wrapText="1"/>
    </xf>
    <xf numFmtId="0" fontId="67" fillId="2" borderId="0" xfId="16" applyFont="1" applyFill="1" applyBorder="1"/>
    <xf numFmtId="0" fontId="74" fillId="2" borderId="0" xfId="0" applyFont="1" applyFill="1" applyAlignment="1">
      <alignment horizontal="left" wrapText="1"/>
    </xf>
    <xf numFmtId="1" fontId="74" fillId="2" borderId="0" xfId="0" applyNumberFormat="1" applyFont="1" applyFill="1" applyAlignment="1">
      <alignment horizontal="left" wrapText="1"/>
    </xf>
    <xf numFmtId="0" fontId="66" fillId="0" borderId="0" xfId="0" applyFont="1"/>
    <xf numFmtId="0" fontId="76" fillId="0" borderId="0" xfId="0" applyFont="1"/>
    <xf numFmtId="0" fontId="76" fillId="0" borderId="0" xfId="0" applyFont="1" applyAlignment="1">
      <alignment horizontal="center"/>
    </xf>
    <xf numFmtId="0" fontId="78" fillId="0" borderId="0" xfId="0" applyFont="1"/>
    <xf numFmtId="0" fontId="78" fillId="0" borderId="0" xfId="0" applyFont="1" applyAlignment="1">
      <alignment horizontal="center"/>
    </xf>
    <xf numFmtId="0" fontId="49" fillId="0" borderId="0" xfId="0" applyFont="1"/>
    <xf numFmtId="0" fontId="49" fillId="0" borderId="0" xfId="0" applyFont="1" applyAlignment="1">
      <alignment horizontal="center"/>
    </xf>
    <xf numFmtId="0" fontId="53" fillId="0" borderId="0" xfId="0" applyFont="1" applyAlignment="1">
      <alignment horizontal="center"/>
    </xf>
    <xf numFmtId="0" fontId="66" fillId="9" borderId="0" xfId="3" applyFont="1" applyFill="1" applyAlignment="1">
      <alignment wrapText="1"/>
    </xf>
    <xf numFmtId="0" fontId="66" fillId="19" borderId="0" xfId="3" applyFont="1" applyFill="1"/>
    <xf numFmtId="43" fontId="24" fillId="19" borderId="0" xfId="3" applyNumberFormat="1" applyFont="1" applyFill="1" applyAlignment="1">
      <alignment horizontal="center"/>
    </xf>
    <xf numFmtId="0" fontId="66" fillId="0" borderId="0" xfId="0" applyFont="1" applyAlignment="1">
      <alignment horizontal="center"/>
    </xf>
    <xf numFmtId="0" fontId="24" fillId="0" borderId="0" xfId="0" applyFont="1"/>
    <xf numFmtId="0" fontId="24" fillId="0" borderId="0" xfId="0" applyFont="1" applyAlignment="1">
      <alignment horizontal="center"/>
    </xf>
    <xf numFmtId="3" fontId="66" fillId="0" borderId="0" xfId="0" applyNumberFormat="1" applyFont="1"/>
    <xf numFmtId="0" fontId="6" fillId="3" borderId="0" xfId="0" applyFont="1" applyFill="1" applyAlignment="1" applyProtection="1">
      <alignment horizontal="center"/>
      <protection locked="0"/>
    </xf>
    <xf numFmtId="2" fontId="11" fillId="0" borderId="0" xfId="0" applyNumberFormat="1" applyFont="1" applyAlignment="1">
      <alignment horizontal="right"/>
    </xf>
    <xf numFmtId="3" fontId="11" fillId="0" borderId="0" xfId="0" applyNumberFormat="1" applyFont="1"/>
    <xf numFmtId="4" fontId="11" fillId="0" borderId="0" xfId="0" applyNumberFormat="1" applyFont="1"/>
    <xf numFmtId="2" fontId="6" fillId="0" borderId="0" xfId="0" applyNumberFormat="1" applyFont="1" applyAlignment="1">
      <alignment horizontal="right"/>
    </xf>
    <xf numFmtId="1" fontId="6" fillId="21" borderId="0" xfId="0" applyNumberFormat="1" applyFont="1" applyFill="1" applyAlignment="1">
      <alignment horizontal="center"/>
    </xf>
    <xf numFmtId="0" fontId="11" fillId="0" borderId="0" xfId="0" applyFont="1" applyAlignment="1">
      <alignment wrapText="1"/>
    </xf>
    <xf numFmtId="0" fontId="6" fillId="0" borderId="0" xfId="0" applyFont="1" applyAlignment="1">
      <alignment horizontal="right" vertical="center"/>
    </xf>
    <xf numFmtId="0" fontId="6" fillId="0" borderId="0" xfId="0" applyFont="1" applyAlignment="1">
      <alignment horizontal="center"/>
    </xf>
    <xf numFmtId="3" fontId="11" fillId="0" borderId="0" xfId="0" applyNumberFormat="1" applyFont="1" applyAlignment="1">
      <alignment wrapText="1"/>
    </xf>
    <xf numFmtId="4" fontId="11" fillId="0" borderId="0" xfId="0" applyNumberFormat="1" applyFont="1" applyAlignment="1">
      <alignment wrapText="1"/>
    </xf>
    <xf numFmtId="2" fontId="6" fillId="0" borderId="0" xfId="0" applyNumberFormat="1" applyFont="1" applyAlignment="1">
      <alignment horizontal="right" wrapText="1"/>
    </xf>
    <xf numFmtId="1" fontId="11" fillId="0" borderId="0" xfId="0" applyNumberFormat="1" applyFont="1" applyAlignment="1">
      <alignment horizontal="center"/>
    </xf>
    <xf numFmtId="10" fontId="11" fillId="0" borderId="0" xfId="0" applyNumberFormat="1" applyFont="1" applyAlignment="1">
      <alignment horizontal="center"/>
    </xf>
    <xf numFmtId="43" fontId="11" fillId="0" borderId="0" xfId="0" applyNumberFormat="1" applyFont="1" applyAlignment="1">
      <alignment horizontal="right"/>
    </xf>
    <xf numFmtId="1" fontId="11" fillId="0" borderId="0" xfId="0" applyNumberFormat="1" applyFont="1" applyAlignment="1">
      <alignment horizontal="left"/>
    </xf>
    <xf numFmtId="0" fontId="6" fillId="22" borderId="0" xfId="0" applyFont="1" applyFill="1" applyAlignment="1">
      <alignment horizontal="center" vertical="center" wrapText="1"/>
    </xf>
    <xf numFmtId="1" fontId="6" fillId="22" borderId="0" xfId="0" applyNumberFormat="1" applyFont="1" applyFill="1" applyAlignment="1">
      <alignment horizontal="center" vertical="center" wrapText="1"/>
    </xf>
    <xf numFmtId="2" fontId="6" fillId="22" borderId="0" xfId="0" applyNumberFormat="1" applyFont="1" applyFill="1" applyAlignment="1">
      <alignment horizontal="center" vertical="center" wrapText="1"/>
    </xf>
    <xf numFmtId="3" fontId="6" fillId="22" borderId="0" xfId="0" applyNumberFormat="1" applyFont="1" applyFill="1" applyAlignment="1">
      <alignment horizontal="center" vertical="center" wrapText="1"/>
    </xf>
    <xf numFmtId="4" fontId="6" fillId="22" borderId="0" xfId="0" applyNumberFormat="1" applyFont="1" applyFill="1" applyAlignment="1">
      <alignment horizontal="center" vertical="center" wrapText="1"/>
    </xf>
    <xf numFmtId="2" fontId="24" fillId="22" borderId="0" xfId="0" applyNumberFormat="1" applyFont="1" applyFill="1" applyAlignment="1">
      <alignment horizontal="right" vertical="center" wrapText="1"/>
    </xf>
    <xf numFmtId="2" fontId="11" fillId="0" borderId="0" xfId="0" applyNumberFormat="1" applyFont="1"/>
    <xf numFmtId="1" fontId="66" fillId="9" borderId="36" xfId="3" applyNumberFormat="1" applyFont="1" applyFill="1" applyBorder="1" applyAlignment="1" applyProtection="1">
      <alignment horizontal="centerContinuous"/>
      <protection locked="0"/>
    </xf>
    <xf numFmtId="1" fontId="74" fillId="9" borderId="39" xfId="0" applyNumberFormat="1" applyFont="1" applyFill="1" applyBorder="1" applyAlignment="1">
      <alignment horizontal="left" wrapText="1"/>
    </xf>
    <xf numFmtId="0" fontId="86" fillId="0" borderId="0" xfId="0" applyFont="1"/>
    <xf numFmtId="4" fontId="66" fillId="16" borderId="0" xfId="3" applyNumberFormat="1" applyFont="1" applyFill="1"/>
    <xf numFmtId="4" fontId="66" fillId="16" borderId="0" xfId="3" applyNumberFormat="1" applyFont="1" applyFill="1" applyAlignment="1">
      <alignment wrapText="1"/>
    </xf>
    <xf numFmtId="4" fontId="24" fillId="16" borderId="0" xfId="3" applyNumberFormat="1" applyFont="1" applyFill="1" applyAlignment="1">
      <alignment horizontal="right"/>
    </xf>
    <xf numFmtId="4" fontId="66" fillId="19" borderId="0" xfId="3" applyNumberFormat="1" applyFont="1" applyFill="1"/>
    <xf numFmtId="0" fontId="87" fillId="12" borderId="12" xfId="0" applyFont="1" applyFill="1" applyBorder="1" applyAlignment="1">
      <alignment horizontal="left" indent="1"/>
    </xf>
    <xf numFmtId="0" fontId="4" fillId="0" borderId="2" xfId="0" applyFont="1" applyBorder="1"/>
    <xf numFmtId="0" fontId="8" fillId="2" borderId="2" xfId="0" applyFont="1" applyFill="1" applyBorder="1"/>
    <xf numFmtId="0" fontId="7" fillId="12" borderId="17" xfId="0" applyFont="1" applyFill="1" applyBorder="1" applyAlignment="1">
      <alignment horizontal="center" vertical="center" wrapText="1"/>
    </xf>
    <xf numFmtId="0" fontId="7" fillId="12" borderId="19" xfId="0" applyFont="1" applyFill="1" applyBorder="1"/>
    <xf numFmtId="0" fontId="87" fillId="12" borderId="2" xfId="0" applyFont="1" applyFill="1" applyBorder="1" applyAlignment="1">
      <alignment horizontal="left" vertical="center" indent="1"/>
    </xf>
    <xf numFmtId="0" fontId="87" fillId="12" borderId="0" xfId="0" applyFont="1" applyFill="1"/>
    <xf numFmtId="0" fontId="8" fillId="12" borderId="0" xfId="0" applyFont="1" applyFill="1"/>
    <xf numFmtId="0" fontId="42" fillId="3" borderId="0" xfId="0" applyFont="1" applyFill="1"/>
    <xf numFmtId="0" fontId="32" fillId="2" borderId="0" xfId="0" applyFont="1" applyFill="1"/>
    <xf numFmtId="0" fontId="32" fillId="0" borderId="0" xfId="0" applyFont="1"/>
    <xf numFmtId="0" fontId="42" fillId="0" borderId="0" xfId="0" applyFont="1"/>
    <xf numFmtId="0" fontId="8" fillId="2" borderId="0" xfId="0" applyFont="1" applyFill="1"/>
    <xf numFmtId="0" fontId="42" fillId="12" borderId="0" xfId="0" applyFont="1" applyFill="1" applyAlignment="1">
      <alignment horizontal="centerContinuous"/>
    </xf>
    <xf numFmtId="0" fontId="42" fillId="0" borderId="0" xfId="0" applyFont="1" applyAlignment="1">
      <alignment horizontal="centerContinuous"/>
    </xf>
    <xf numFmtId="0" fontId="8" fillId="12" borderId="0" xfId="0" applyFont="1" applyFill="1" applyAlignment="1">
      <alignment horizontal="centerContinuous"/>
    </xf>
    <xf numFmtId="0" fontId="42" fillId="12" borderId="0" xfId="0" applyFont="1" applyFill="1"/>
    <xf numFmtId="0" fontId="6" fillId="12" borderId="0" xfId="0" applyFont="1" applyFill="1"/>
    <xf numFmtId="0" fontId="42" fillId="12" borderId="0" xfId="0" applyFont="1" applyFill="1" applyAlignment="1">
      <alignment horizontal="center"/>
    </xf>
    <xf numFmtId="0" fontId="32" fillId="12" borderId="0" xfId="0" applyFont="1" applyFill="1"/>
    <xf numFmtId="0" fontId="43" fillId="12" borderId="0" xfId="0" applyFont="1" applyFill="1"/>
    <xf numFmtId="0" fontId="4" fillId="12" borderId="0" xfId="0" applyFont="1" applyFill="1" applyAlignment="1">
      <alignment horizontal="center"/>
    </xf>
    <xf numFmtId="0" fontId="4" fillId="0" borderId="0" xfId="0" applyFont="1" applyAlignment="1">
      <alignment horizontal="center"/>
    </xf>
    <xf numFmtId="0" fontId="42" fillId="0" borderId="0" xfId="0" applyFont="1" applyAlignment="1">
      <alignment horizontal="left" vertical="center"/>
    </xf>
    <xf numFmtId="0" fontId="42" fillId="3" borderId="4" xfId="0" applyFont="1" applyFill="1" applyBorder="1"/>
    <xf numFmtId="0" fontId="8" fillId="12" borderId="4" xfId="0" applyFont="1" applyFill="1" applyBorder="1"/>
    <xf numFmtId="0" fontId="8" fillId="2" borderId="4" xfId="0" applyFont="1" applyFill="1" applyBorder="1"/>
    <xf numFmtId="0" fontId="11" fillId="0" borderId="0" xfId="0" applyFont="1" applyAlignment="1">
      <alignment horizontal="center" wrapText="1"/>
    </xf>
    <xf numFmtId="1" fontId="6" fillId="22" borderId="5" xfId="0" applyNumberFormat="1" applyFont="1" applyFill="1" applyBorder="1" applyAlignment="1">
      <alignment horizontal="center" vertical="center" wrapText="1"/>
    </xf>
    <xf numFmtId="3" fontId="24" fillId="16" borderId="35" xfId="3" applyNumberFormat="1" applyFont="1" applyFill="1" applyBorder="1" applyAlignment="1">
      <alignment horizontal="center"/>
    </xf>
    <xf numFmtId="0" fontId="22" fillId="9" borderId="39" xfId="16" applyFont="1" applyFill="1" applyBorder="1" applyAlignment="1">
      <alignment vertical="top"/>
    </xf>
    <xf numFmtId="1" fontId="71" fillId="9" borderId="39" xfId="0" applyNumberFormat="1" applyFont="1" applyFill="1" applyBorder="1" applyAlignment="1">
      <alignment horizontal="centerContinuous"/>
    </xf>
    <xf numFmtId="43" fontId="66" fillId="0" borderId="0" xfId="0" applyNumberFormat="1" applyFont="1"/>
    <xf numFmtId="0" fontId="11" fillId="0" borderId="0" xfId="0" applyFont="1" applyAlignment="1">
      <alignment horizontal="center"/>
    </xf>
    <xf numFmtId="2" fontId="11" fillId="0" borderId="0" xfId="0" applyNumberFormat="1" applyFont="1" applyAlignment="1">
      <alignment wrapText="1"/>
    </xf>
    <xf numFmtId="43" fontId="11" fillId="0" borderId="0" xfId="0" applyNumberFormat="1" applyFont="1"/>
    <xf numFmtId="0" fontId="66" fillId="16" borderId="0" xfId="3" applyFont="1" applyFill="1" applyAlignment="1">
      <alignment vertical="center"/>
    </xf>
    <xf numFmtId="4" fontId="66" fillId="16" borderId="0" xfId="3" applyNumberFormat="1" applyFont="1" applyFill="1" applyAlignment="1">
      <alignment vertical="center"/>
    </xf>
    <xf numFmtId="0" fontId="23" fillId="16" borderId="32" xfId="3" applyFont="1" applyFill="1" applyBorder="1" applyAlignment="1">
      <alignment horizontal="left" vertical="center"/>
    </xf>
    <xf numFmtId="0" fontId="74" fillId="16" borderId="33" xfId="0" applyFont="1" applyFill="1" applyBorder="1" applyAlignment="1">
      <alignment horizontal="left" vertical="center" wrapText="1"/>
    </xf>
    <xf numFmtId="1" fontId="66" fillId="16" borderId="0" xfId="3" applyNumberFormat="1" applyFont="1" applyFill="1" applyAlignment="1">
      <alignment vertical="center"/>
    </xf>
    <xf numFmtId="0" fontId="66" fillId="9" borderId="0" xfId="3" applyFont="1" applyFill="1" applyAlignment="1">
      <alignment vertical="center"/>
    </xf>
    <xf numFmtId="0" fontId="77" fillId="0" borderId="0" xfId="0" applyFont="1" applyAlignment="1">
      <alignment horizontal="center" vertical="center"/>
    </xf>
    <xf numFmtId="0" fontId="79" fillId="23" borderId="48" xfId="0" applyFont="1" applyFill="1" applyBorder="1" applyAlignment="1">
      <alignment horizontal="center" vertical="center"/>
    </xf>
    <xf numFmtId="0" fontId="79" fillId="23" borderId="49" xfId="0" applyFont="1" applyFill="1" applyBorder="1" applyAlignment="1">
      <alignment horizontal="center" vertical="center"/>
    </xf>
    <xf numFmtId="0" fontId="88" fillId="24" borderId="50" xfId="0" applyFont="1" applyFill="1" applyBorder="1" applyAlignment="1">
      <alignment horizontal="right" vertical="center"/>
    </xf>
    <xf numFmtId="0" fontId="4" fillId="0" borderId="51" xfId="0" applyFont="1" applyBorder="1" applyAlignment="1">
      <alignment horizontal="center" vertical="center"/>
    </xf>
    <xf numFmtId="0" fontId="88" fillId="24" borderId="52" xfId="0" applyFont="1" applyFill="1" applyBorder="1" applyAlignment="1">
      <alignment horizontal="right"/>
    </xf>
    <xf numFmtId="0" fontId="76" fillId="0" borderId="53" xfId="0" applyFont="1" applyBorder="1" applyAlignment="1">
      <alignment horizontal="left"/>
    </xf>
    <xf numFmtId="0" fontId="76" fillId="0" borderId="0" xfId="0" applyFont="1" applyAlignment="1">
      <alignment horizontal="left"/>
    </xf>
    <xf numFmtId="0" fontId="49" fillId="0" borderId="52" xfId="0" applyFont="1" applyBorder="1" applyAlignment="1">
      <alignment horizontal="center"/>
    </xf>
    <xf numFmtId="0" fontId="80" fillId="24" borderId="52" xfId="0" applyFont="1" applyFill="1" applyBorder="1" applyAlignment="1">
      <alignment horizontal="right"/>
    </xf>
    <xf numFmtId="0" fontId="45" fillId="0" borderId="52" xfId="0" applyFont="1" applyBorder="1" applyAlignment="1">
      <alignment horizontal="center"/>
    </xf>
    <xf numFmtId="0" fontId="81" fillId="0" borderId="0" xfId="0" applyFont="1"/>
    <xf numFmtId="0" fontId="74" fillId="0" borderId="0" xfId="0" applyFont="1"/>
    <xf numFmtId="0" fontId="81" fillId="0" borderId="52" xfId="0" applyFont="1" applyBorder="1" applyAlignment="1">
      <alignment horizontal="center"/>
    </xf>
    <xf numFmtId="168" fontId="76" fillId="0" borderId="0" xfId="0" applyNumberFormat="1" applyFont="1" applyAlignment="1">
      <alignment horizontal="left"/>
    </xf>
    <xf numFmtId="0" fontId="3" fillId="0" borderId="0" xfId="2" applyAlignment="1">
      <alignment horizontal="left"/>
    </xf>
    <xf numFmtId="0" fontId="49" fillId="0" borderId="52" xfId="0" applyFont="1" applyBorder="1"/>
    <xf numFmtId="14" fontId="76" fillId="0" borderId="53" xfId="0" applyNumberFormat="1" applyFont="1" applyBorder="1" applyAlignment="1">
      <alignment horizontal="left"/>
    </xf>
    <xf numFmtId="0" fontId="80" fillId="25" borderId="52" xfId="0" applyFont="1" applyFill="1" applyBorder="1" applyAlignment="1">
      <alignment horizontal="right"/>
    </xf>
    <xf numFmtId="0" fontId="88" fillId="0" borderId="54" xfId="0" applyFont="1" applyBorder="1" applyAlignment="1">
      <alignment horizontal="right"/>
    </xf>
    <xf numFmtId="0" fontId="89" fillId="0" borderId="55" xfId="0" applyFont="1" applyBorder="1" applyAlignment="1">
      <alignment horizontal="left"/>
    </xf>
    <xf numFmtId="0" fontId="82" fillId="0" borderId="0" xfId="0" applyFont="1" applyAlignment="1">
      <alignment horizontal="center"/>
    </xf>
    <xf numFmtId="0" fontId="83" fillId="28" borderId="5" xfId="0" applyFont="1" applyFill="1" applyBorder="1" applyAlignment="1">
      <alignment horizontal="center" vertical="center"/>
    </xf>
    <xf numFmtId="0" fontId="83" fillId="29" borderId="5" xfId="0" applyFont="1" applyFill="1" applyBorder="1" applyAlignment="1">
      <alignment horizontal="center" vertical="center" wrapText="1"/>
    </xf>
    <xf numFmtId="0" fontId="84" fillId="23" borderId="56" xfId="0" applyFont="1" applyFill="1" applyBorder="1" applyAlignment="1">
      <alignment horizontal="center" vertical="center" wrapText="1"/>
    </xf>
    <xf numFmtId="0" fontId="84" fillId="23" borderId="52" xfId="0" applyFont="1" applyFill="1" applyBorder="1" applyAlignment="1">
      <alignment horizontal="center" vertical="center" wrapText="1"/>
    </xf>
    <xf numFmtId="0" fontId="84" fillId="23" borderId="57" xfId="0" applyFont="1" applyFill="1" applyBorder="1" applyAlignment="1">
      <alignment horizontal="center" vertical="center" wrapText="1"/>
    </xf>
    <xf numFmtId="0" fontId="84" fillId="23" borderId="0" xfId="0" applyFont="1" applyFill="1" applyAlignment="1">
      <alignment horizontal="center" vertical="center" wrapText="1"/>
    </xf>
    <xf numFmtId="0" fontId="90"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0" fillId="0" borderId="0" xfId="0" applyAlignment="1">
      <alignment wrapText="1"/>
    </xf>
    <xf numFmtId="0" fontId="13" fillId="12" borderId="0" xfId="0" applyFont="1" applyFill="1" applyAlignment="1">
      <alignment wrapText="1"/>
    </xf>
    <xf numFmtId="0" fontId="20" fillId="12" borderId="0" xfId="0" applyFont="1" applyFill="1"/>
    <xf numFmtId="0" fontId="23" fillId="12" borderId="0" xfId="0" applyFont="1" applyFill="1" applyAlignment="1">
      <alignment wrapText="1"/>
    </xf>
    <xf numFmtId="0" fontId="20" fillId="12" borderId="0" xfId="0" applyFont="1" applyFill="1" applyAlignment="1">
      <alignment wrapText="1"/>
    </xf>
    <xf numFmtId="164" fontId="91" fillId="9" borderId="32" xfId="5" applyFont="1" applyFill="1" applyBorder="1" applyAlignment="1" applyProtection="1">
      <alignment horizontal="centerContinuous" vertical="center" wrapText="1"/>
      <protection locked="0"/>
    </xf>
    <xf numFmtId="0" fontId="91" fillId="2" borderId="0" xfId="0" applyFont="1" applyFill="1" applyAlignment="1">
      <alignment horizontal="centerContinuous"/>
    </xf>
    <xf numFmtId="0" fontId="91" fillId="2" borderId="4" xfId="0" applyFont="1" applyFill="1" applyBorder="1" applyAlignment="1">
      <alignment horizontal="centerContinuous"/>
    </xf>
    <xf numFmtId="0" fontId="3" fillId="0" borderId="0" xfId="2" applyFill="1"/>
    <xf numFmtId="0" fontId="32" fillId="0" borderId="0" xfId="0" applyFont="1" applyAlignment="1">
      <alignment vertical="center"/>
    </xf>
    <xf numFmtId="0" fontId="0" fillId="0" borderId="21" xfId="0" applyBorder="1" applyAlignment="1">
      <alignment horizontal="left"/>
    </xf>
    <xf numFmtId="0" fontId="6" fillId="0" borderId="21" xfId="0" applyFont="1" applyBorder="1" applyAlignment="1">
      <alignment horizontal="left"/>
    </xf>
    <xf numFmtId="0" fontId="6" fillId="0" borderId="22" xfId="0" applyFont="1" applyBorder="1" applyAlignment="1">
      <alignment horizontal="left"/>
    </xf>
    <xf numFmtId="0" fontId="6" fillId="0" borderId="24" xfId="0" applyFont="1" applyBorder="1" applyAlignment="1">
      <alignment horizontal="right"/>
    </xf>
    <xf numFmtId="0" fontId="62" fillId="0" borderId="26" xfId="0" applyFont="1" applyBorder="1" applyAlignment="1">
      <alignment horizontal="left" vertical="center"/>
    </xf>
    <xf numFmtId="0" fontId="6" fillId="0" borderId="24" xfId="0" applyFont="1" applyBorder="1"/>
    <xf numFmtId="0" fontId="11" fillId="0" borderId="28" xfId="0" applyFont="1" applyBorder="1"/>
    <xf numFmtId="0" fontId="6" fillId="0" borderId="28" xfId="0" applyFont="1" applyBorder="1"/>
    <xf numFmtId="0" fontId="6" fillId="0" borderId="29" xfId="0" applyFont="1" applyBorder="1"/>
    <xf numFmtId="0" fontId="65" fillId="0" borderId="0" xfId="0" applyFont="1" applyAlignment="1">
      <alignment vertical="center" wrapText="1"/>
    </xf>
    <xf numFmtId="0" fontId="66" fillId="9" borderId="0" xfId="0" applyFont="1" applyFill="1" applyAlignment="1">
      <alignment horizontal="center"/>
    </xf>
    <xf numFmtId="0" fontId="66" fillId="9" borderId="0" xfId="0" applyFont="1" applyFill="1"/>
    <xf numFmtId="0" fontId="20" fillId="0" borderId="0" xfId="0" applyFont="1"/>
    <xf numFmtId="0" fontId="24" fillId="9" borderId="33" xfId="3" applyFont="1" applyFill="1" applyBorder="1" applyAlignment="1" applyProtection="1">
      <alignment horizontal="centerContinuous"/>
      <protection locked="0"/>
    </xf>
    <xf numFmtId="0" fontId="24" fillId="9" borderId="13" xfId="3" applyFont="1" applyFill="1" applyBorder="1" applyAlignment="1" applyProtection="1">
      <alignment horizontal="centerContinuous"/>
      <protection locked="0"/>
    </xf>
    <xf numFmtId="164" fontId="24" fillId="9" borderId="33" xfId="5" applyFont="1" applyFill="1" applyBorder="1" applyAlignment="1" applyProtection="1">
      <alignment horizontal="centerContinuous" vertical="center" wrapText="1"/>
      <protection locked="0"/>
    </xf>
    <xf numFmtId="164" fontId="24" fillId="9" borderId="32" xfId="5" applyFont="1" applyFill="1" applyBorder="1" applyAlignment="1" applyProtection="1">
      <alignment horizontal="centerContinuous" vertical="center" wrapText="1"/>
      <protection locked="0"/>
    </xf>
    <xf numFmtId="0" fontId="66" fillId="9" borderId="0" xfId="0" applyFont="1" applyFill="1" applyAlignment="1">
      <alignment horizontal="center" vertical="center"/>
    </xf>
    <xf numFmtId="0" fontId="66" fillId="9" borderId="0" xfId="0" applyFont="1" applyFill="1" applyAlignment="1">
      <alignment vertical="center"/>
    </xf>
    <xf numFmtId="0" fontId="66" fillId="0" borderId="0" xfId="0" applyFont="1" applyAlignment="1">
      <alignment vertical="center"/>
    </xf>
    <xf numFmtId="164" fontId="24" fillId="9" borderId="32" xfId="5" applyFont="1" applyFill="1" applyBorder="1" applyAlignment="1" applyProtection="1">
      <alignment horizontal="centerContinuous" wrapText="1"/>
      <protection locked="0"/>
    </xf>
    <xf numFmtId="0" fontId="24" fillId="9" borderId="40" xfId="3" applyFont="1" applyFill="1" applyBorder="1" applyAlignment="1">
      <alignment horizontal="left" wrapText="1"/>
    </xf>
    <xf numFmtId="0" fontId="24" fillId="9" borderId="46" xfId="3" applyFont="1" applyFill="1" applyBorder="1" applyAlignment="1">
      <alignment horizontal="left" wrapText="1"/>
    </xf>
    <xf numFmtId="164" fontId="24" fillId="9" borderId="33" xfId="5" applyFont="1" applyFill="1" applyBorder="1" applyAlignment="1" applyProtection="1">
      <alignment horizontal="center" vertical="center" wrapText="1"/>
      <protection locked="0"/>
    </xf>
    <xf numFmtId="0" fontId="92" fillId="9" borderId="39" xfId="0" applyFont="1" applyFill="1" applyBorder="1" applyAlignment="1">
      <alignment horizontal="centerContinuous"/>
    </xf>
    <xf numFmtId="0" fontId="24" fillId="9" borderId="41" xfId="3" applyFont="1" applyFill="1" applyBorder="1" applyAlignment="1">
      <alignment horizontal="left" wrapText="1"/>
    </xf>
    <xf numFmtId="0" fontId="24" fillId="9" borderId="47" xfId="3" applyFont="1" applyFill="1" applyBorder="1" applyAlignment="1">
      <alignment horizontal="center" wrapText="1"/>
    </xf>
    <xf numFmtId="0" fontId="24" fillId="19" borderId="0" xfId="0" applyFont="1" applyFill="1"/>
    <xf numFmtId="0" fontId="24" fillId="19" borderId="40" xfId="0" applyFont="1" applyFill="1" applyBorder="1"/>
    <xf numFmtId="0" fontId="24" fillId="19" borderId="41" xfId="0" applyFont="1" applyFill="1" applyBorder="1"/>
    <xf numFmtId="0" fontId="24" fillId="19" borderId="42" xfId="0" applyFont="1" applyFill="1" applyBorder="1"/>
    <xf numFmtId="0" fontId="66" fillId="19" borderId="0" xfId="0" applyFont="1" applyFill="1" applyAlignment="1">
      <alignment horizontal="center"/>
    </xf>
    <xf numFmtId="0" fontId="66" fillId="19" borderId="0" xfId="0" applyFont="1" applyFill="1"/>
    <xf numFmtId="0" fontId="24" fillId="19" borderId="0" xfId="0" applyFont="1" applyFill="1" applyAlignment="1" applyProtection="1">
      <alignment horizontal="left"/>
      <protection locked="0"/>
    </xf>
    <xf numFmtId="0" fontId="24" fillId="19" borderId="43" xfId="0" applyFont="1" applyFill="1" applyBorder="1" applyAlignment="1" applyProtection="1">
      <alignment horizontal="left"/>
      <protection locked="0"/>
    </xf>
    <xf numFmtId="0" fontId="24" fillId="19" borderId="31" xfId="0" applyFont="1" applyFill="1" applyBorder="1"/>
    <xf numFmtId="0" fontId="24" fillId="19" borderId="31" xfId="0" applyFont="1" applyFill="1" applyBorder="1" applyProtection="1">
      <protection locked="0"/>
    </xf>
    <xf numFmtId="0" fontId="24" fillId="19" borderId="44" xfId="0" applyFont="1" applyFill="1" applyBorder="1"/>
    <xf numFmtId="4" fontId="24" fillId="19" borderId="0" xfId="0" applyNumberFormat="1" applyFont="1" applyFill="1"/>
    <xf numFmtId="43" fontId="24" fillId="19" borderId="0" xfId="0" applyNumberFormat="1" applyFont="1" applyFill="1"/>
    <xf numFmtId="1" fontId="24" fillId="19" borderId="0" xfId="0" applyNumberFormat="1" applyFont="1" applyFill="1"/>
    <xf numFmtId="0" fontId="24" fillId="19" borderId="0" xfId="0" applyFont="1" applyFill="1" applyProtection="1">
      <protection locked="0"/>
    </xf>
    <xf numFmtId="2" fontId="24" fillId="20" borderId="45" xfId="0" applyNumberFormat="1" applyFont="1" applyFill="1" applyBorder="1" applyAlignment="1">
      <alignment horizontal="center"/>
    </xf>
    <xf numFmtId="4" fontId="24" fillId="20" borderId="45" xfId="0" applyNumberFormat="1" applyFont="1" applyFill="1" applyBorder="1" applyAlignment="1">
      <alignment horizontal="center"/>
    </xf>
    <xf numFmtId="44" fontId="24" fillId="20" borderId="45" xfId="0" applyNumberFormat="1" applyFont="1" applyFill="1" applyBorder="1" applyAlignment="1">
      <alignment horizontal="center"/>
    </xf>
    <xf numFmtId="1" fontId="66" fillId="19" borderId="0" xfId="0" applyNumberFormat="1" applyFont="1" applyFill="1"/>
    <xf numFmtId="0" fontId="24" fillId="9" borderId="4" xfId="0" applyFont="1" applyFill="1" applyBorder="1" applyAlignment="1">
      <alignment horizontal="center" wrapText="1"/>
    </xf>
    <xf numFmtId="0" fontId="24" fillId="9" borderId="5" xfId="0" applyFont="1" applyFill="1" applyBorder="1" applyAlignment="1">
      <alignment horizontal="center" wrapText="1"/>
    </xf>
    <xf numFmtId="4" fontId="24" fillId="9" borderId="5" xfId="0" applyNumberFormat="1" applyFont="1" applyFill="1" applyBorder="1" applyAlignment="1">
      <alignment horizontal="center" wrapText="1"/>
    </xf>
    <xf numFmtId="2" fontId="24" fillId="9" borderId="6" xfId="0" applyNumberFormat="1" applyFont="1" applyFill="1" applyBorder="1" applyAlignment="1">
      <alignment horizontal="center" wrapText="1"/>
    </xf>
    <xf numFmtId="0" fontId="24" fillId="9" borderId="6" xfId="0" applyFont="1" applyFill="1" applyBorder="1" applyAlignment="1">
      <alignment horizontal="center" wrapText="1"/>
    </xf>
    <xf numFmtId="0" fontId="24" fillId="9" borderId="16" xfId="0" applyFont="1" applyFill="1" applyBorder="1" applyAlignment="1">
      <alignment horizontal="center" wrapText="1"/>
    </xf>
    <xf numFmtId="1" fontId="66" fillId="9" borderId="0" xfId="0" applyNumberFormat="1" applyFont="1" applyFill="1" applyAlignment="1">
      <alignment horizontal="center" wrapText="1"/>
    </xf>
    <xf numFmtId="0" fontId="66" fillId="9" borderId="0" xfId="3" applyFont="1" applyFill="1" applyAlignment="1">
      <alignment horizontal="center" wrapText="1"/>
    </xf>
    <xf numFmtId="2" fontId="66" fillId="9" borderId="0" xfId="3" applyNumberFormat="1" applyFont="1" applyFill="1" applyAlignment="1">
      <alignment horizontal="center" wrapText="1"/>
    </xf>
    <xf numFmtId="0" fontId="66" fillId="0" borderId="0" xfId="0" applyFont="1" applyAlignment="1">
      <alignment horizontal="center" wrapText="1"/>
    </xf>
    <xf numFmtId="4" fontId="66" fillId="9" borderId="0" xfId="3" applyNumberFormat="1" applyFont="1" applyFill="1" applyAlignment="1">
      <alignment horizontal="center" wrapText="1"/>
    </xf>
    <xf numFmtId="0" fontId="66" fillId="9" borderId="4" xfId="0" applyFont="1" applyFill="1" applyBorder="1" applyAlignment="1">
      <alignment horizontal="center"/>
    </xf>
    <xf numFmtId="0" fontId="66" fillId="9" borderId="58" xfId="0" applyFont="1" applyFill="1" applyBorder="1" applyAlignment="1">
      <alignment horizontal="center"/>
    </xf>
    <xf numFmtId="0" fontId="66" fillId="9" borderId="14" xfId="0" applyFont="1" applyFill="1" applyBorder="1" applyAlignment="1">
      <alignment horizontal="center"/>
    </xf>
    <xf numFmtId="1" fontId="24" fillId="30" borderId="6" xfId="0" quotePrefix="1" applyNumberFormat="1" applyFont="1" applyFill="1" applyBorder="1" applyAlignment="1">
      <alignment horizontal="center"/>
    </xf>
    <xf numFmtId="0" fontId="24" fillId="9" borderId="6" xfId="0" quotePrefix="1" applyFont="1" applyFill="1" applyBorder="1" applyAlignment="1">
      <alignment horizontal="center"/>
    </xf>
    <xf numFmtId="2" fontId="24" fillId="9" borderId="6" xfId="0" quotePrefix="1" applyNumberFormat="1" applyFont="1" applyFill="1" applyBorder="1" applyAlignment="1">
      <alignment horizontal="center"/>
    </xf>
    <xf numFmtId="3" fontId="24" fillId="9" borderId="6" xfId="0" quotePrefix="1" applyNumberFormat="1" applyFont="1" applyFill="1" applyBorder="1" applyAlignment="1">
      <alignment horizontal="center"/>
    </xf>
    <xf numFmtId="169" fontId="24" fillId="9" borderId="6" xfId="1" applyNumberFormat="1" applyFont="1" applyFill="1" applyBorder="1" applyAlignment="1" applyProtection="1">
      <alignment horizontal="center"/>
    </xf>
    <xf numFmtId="170" fontId="24" fillId="9" borderId="2" xfId="0" applyNumberFormat="1" applyFont="1" applyFill="1" applyBorder="1" applyAlignment="1">
      <alignment horizontal="center"/>
    </xf>
    <xf numFmtId="0" fontId="66" fillId="9" borderId="59" xfId="0" applyFont="1" applyFill="1" applyBorder="1" applyAlignment="1">
      <alignment horizontal="center"/>
    </xf>
    <xf numFmtId="4" fontId="66" fillId="9" borderId="0" xfId="0" applyNumberFormat="1" applyFont="1" applyFill="1"/>
    <xf numFmtId="1" fontId="66" fillId="9" borderId="0" xfId="0" applyNumberFormat="1" applyFont="1" applyFill="1"/>
    <xf numFmtId="0" fontId="11" fillId="0" borderId="0" xfId="0" applyFont="1" applyAlignment="1">
      <alignment horizontal="left" wrapText="1"/>
    </xf>
    <xf numFmtId="0" fontId="11" fillId="0" borderId="5" xfId="0" applyFont="1" applyBorder="1"/>
    <xf numFmtId="0" fontId="11" fillId="0" borderId="5" xfId="0" applyFont="1" applyBorder="1" applyAlignment="1">
      <alignment horizontal="center"/>
    </xf>
    <xf numFmtId="1" fontId="11" fillId="0" borderId="5" xfId="0" applyNumberFormat="1" applyFont="1" applyBorder="1" applyAlignment="1">
      <alignment horizontal="center"/>
    </xf>
    <xf numFmtId="2" fontId="11" fillId="0" borderId="5" xfId="0" applyNumberFormat="1" applyFont="1" applyBorder="1" applyAlignment="1">
      <alignment horizontal="center"/>
    </xf>
    <xf numFmtId="3" fontId="11" fillId="0" borderId="5" xfId="0" applyNumberFormat="1" applyFont="1" applyBorder="1" applyAlignment="1">
      <alignment horizontal="center"/>
    </xf>
    <xf numFmtId="4" fontId="11" fillId="0" borderId="5" xfId="0" applyNumberFormat="1" applyFont="1" applyBorder="1" applyAlignment="1">
      <alignment horizontal="center"/>
    </xf>
    <xf numFmtId="43" fontId="11" fillId="0" borderId="18" xfId="0" applyNumberFormat="1" applyFont="1" applyBorder="1"/>
    <xf numFmtId="4" fontId="6" fillId="22" borderId="0" xfId="0" applyNumberFormat="1" applyFont="1" applyFill="1" applyAlignment="1">
      <alignment horizontal="center"/>
    </xf>
    <xf numFmtId="3" fontId="66" fillId="0" borderId="0" xfId="0" applyNumberFormat="1" applyFont="1" applyAlignment="1">
      <alignment horizontal="center"/>
    </xf>
    <xf numFmtId="0" fontId="85" fillId="0" borderId="0" xfId="0" applyFont="1"/>
    <xf numFmtId="14" fontId="24" fillId="31" borderId="3" xfId="3" applyNumberFormat="1" applyFont="1" applyFill="1" applyBorder="1" applyAlignment="1">
      <alignment horizontal="center" wrapText="1"/>
    </xf>
    <xf numFmtId="168" fontId="11" fillId="0" borderId="0" xfId="0" applyNumberFormat="1" applyFont="1" applyAlignment="1">
      <alignment horizontal="right"/>
    </xf>
    <xf numFmtId="171" fontId="78" fillId="0" borderId="53" xfId="0" applyNumberFormat="1" applyFont="1" applyBorder="1" applyAlignment="1">
      <alignment horizontal="left"/>
    </xf>
    <xf numFmtId="1" fontId="11" fillId="0" borderId="0" xfId="0" applyNumberFormat="1" applyFont="1"/>
    <xf numFmtId="1" fontId="66" fillId="9" borderId="13" xfId="3" applyNumberFormat="1" applyFont="1" applyFill="1" applyBorder="1" applyAlignment="1" applyProtection="1">
      <alignment horizontal="centerContinuous"/>
      <protection locked="0"/>
    </xf>
    <xf numFmtId="0" fontId="74" fillId="9" borderId="32" xfId="0" applyFont="1" applyFill="1" applyBorder="1" applyAlignment="1">
      <alignment horizontal="centerContinuous" vertical="center" wrapText="1"/>
    </xf>
    <xf numFmtId="0" fontId="75" fillId="9" borderId="32" xfId="0" applyFont="1" applyFill="1" applyBorder="1" applyAlignment="1">
      <alignment horizontal="centerContinuous" vertical="center" wrapText="1"/>
    </xf>
    <xf numFmtId="0" fontId="75" fillId="9" borderId="0" xfId="0" applyFont="1" applyFill="1" applyAlignment="1">
      <alignment horizontal="centerContinuous" wrapText="1"/>
    </xf>
    <xf numFmtId="0" fontId="75" fillId="9" borderId="0" xfId="0" applyFont="1" applyFill="1" applyAlignment="1">
      <alignment horizontal="centerContinuous" vertical="top" wrapText="1"/>
    </xf>
    <xf numFmtId="0" fontId="75" fillId="9" borderId="32" xfId="0" applyFont="1" applyFill="1" applyBorder="1" applyAlignment="1">
      <alignment horizontal="centerContinuous" vertical="top" wrapText="1"/>
    </xf>
    <xf numFmtId="0" fontId="75" fillId="9" borderId="33" xfId="0" applyFont="1" applyFill="1" applyBorder="1" applyAlignment="1">
      <alignment horizontal="centerContinuous" vertical="top" wrapText="1"/>
    </xf>
    <xf numFmtId="1" fontId="6" fillId="0" borderId="0" xfId="0" applyNumberFormat="1" applyFont="1" applyAlignment="1">
      <alignment horizontal="left" wrapText="1"/>
    </xf>
    <xf numFmtId="0" fontId="0" fillId="0" borderId="23" xfId="0" applyBorder="1" applyAlignment="1">
      <alignment vertical="center" wrapText="1"/>
    </xf>
    <xf numFmtId="0" fontId="0" fillId="0" borderId="25" xfId="0" applyBorder="1" applyAlignment="1">
      <alignment vertical="center" wrapText="1"/>
    </xf>
    <xf numFmtId="0" fontId="0" fillId="0" borderId="27" xfId="0" applyBorder="1" applyAlignment="1">
      <alignment vertical="center" wrapText="1"/>
    </xf>
    <xf numFmtId="0" fontId="3" fillId="0" borderId="0" xfId="2" applyFill="1" applyBorder="1" applyAlignment="1">
      <alignment horizontal="left" vertical="center"/>
    </xf>
    <xf numFmtId="0" fontId="0" fillId="0" borderId="0" xfId="0" applyAlignment="1">
      <alignment horizontal="left"/>
    </xf>
    <xf numFmtId="0" fontId="63" fillId="0" borderId="0" xfId="0" applyFont="1" applyAlignment="1">
      <alignment vertical="center"/>
    </xf>
    <xf numFmtId="0" fontId="64" fillId="0" borderId="0" xfId="0" applyFont="1"/>
    <xf numFmtId="0" fontId="45" fillId="0" borderId="18" xfId="0" applyFont="1" applyBorder="1" applyAlignment="1">
      <alignment horizontal="center" vertical="center"/>
    </xf>
    <xf numFmtId="0" fontId="45" fillId="0" borderId="34" xfId="0" applyFont="1" applyBorder="1" applyAlignment="1">
      <alignment horizontal="center" vertical="center"/>
    </xf>
    <xf numFmtId="0" fontId="45" fillId="0" borderId="19" xfId="0" applyFont="1" applyBorder="1" applyAlignment="1">
      <alignment horizontal="center" vertical="center"/>
    </xf>
    <xf numFmtId="0" fontId="48" fillId="0" borderId="2" xfId="0" applyFont="1" applyBorder="1" applyAlignment="1">
      <alignment horizontal="center" vertical="center"/>
    </xf>
    <xf numFmtId="0" fontId="48" fillId="0" borderId="0" xfId="0" applyFont="1" applyAlignment="1">
      <alignment horizontal="center" vertical="center"/>
    </xf>
    <xf numFmtId="0" fontId="48" fillId="0" borderId="4" xfId="0" applyFont="1" applyBorder="1" applyAlignment="1">
      <alignment horizontal="center" vertical="center"/>
    </xf>
    <xf numFmtId="0" fontId="68" fillId="11" borderId="2" xfId="0" applyFont="1" applyFill="1" applyBorder="1" applyAlignment="1">
      <alignment horizontal="center"/>
    </xf>
    <xf numFmtId="0" fontId="68" fillId="11" borderId="0" xfId="0" applyFont="1" applyFill="1" applyAlignment="1">
      <alignment horizontal="center"/>
    </xf>
    <xf numFmtId="0" fontId="68" fillId="11" borderId="4" xfId="0" applyFont="1" applyFill="1" applyBorder="1" applyAlignment="1">
      <alignment horizontal="center"/>
    </xf>
    <xf numFmtId="0" fontId="39" fillId="11" borderId="2" xfId="0" applyFont="1" applyFill="1" applyBorder="1" applyAlignment="1">
      <alignment horizontal="center"/>
    </xf>
    <xf numFmtId="0" fontId="39" fillId="11" borderId="0" xfId="0" applyFont="1" applyFill="1" applyAlignment="1">
      <alignment horizontal="center"/>
    </xf>
    <xf numFmtId="0" fontId="39" fillId="11" borderId="4" xfId="0" applyFont="1" applyFill="1" applyBorder="1" applyAlignment="1">
      <alignment horizontal="center"/>
    </xf>
    <xf numFmtId="0" fontId="39" fillId="11" borderId="16" xfId="0" applyFont="1" applyFill="1" applyBorder="1" applyAlignment="1">
      <alignment horizontal="center"/>
    </xf>
    <xf numFmtId="0" fontId="39" fillId="11" borderId="3" xfId="0" applyFont="1" applyFill="1" applyBorder="1" applyAlignment="1">
      <alignment horizontal="center"/>
    </xf>
    <xf numFmtId="0" fontId="39" fillId="11" borderId="14" xfId="0" applyFont="1" applyFill="1" applyBorder="1" applyAlignment="1">
      <alignment horizontal="center"/>
    </xf>
    <xf numFmtId="0" fontId="55" fillId="13" borderId="12" xfId="0" applyFont="1" applyFill="1" applyBorder="1" applyAlignment="1">
      <alignment horizontal="center" vertical="center"/>
    </xf>
    <xf numFmtId="0" fontId="55" fillId="13" borderId="1" xfId="0" applyFont="1" applyFill="1" applyBorder="1" applyAlignment="1">
      <alignment horizontal="center" vertical="center"/>
    </xf>
    <xf numFmtId="0" fontId="55" fillId="13" borderId="17" xfId="0" applyFont="1" applyFill="1" applyBorder="1" applyAlignment="1">
      <alignment horizontal="center" vertical="center"/>
    </xf>
    <xf numFmtId="0" fontId="8" fillId="12" borderId="2" xfId="0" applyFont="1" applyFill="1" applyBorder="1" applyAlignment="1">
      <alignment horizontal="left" vertical="center"/>
    </xf>
    <xf numFmtId="0" fontId="8" fillId="12" borderId="0" xfId="0" applyFont="1" applyFill="1" applyAlignment="1">
      <alignment horizontal="left" vertical="center"/>
    </xf>
    <xf numFmtId="0" fontId="42" fillId="3" borderId="2" xfId="0" applyFont="1" applyFill="1" applyBorder="1" applyAlignment="1">
      <alignment horizontal="center"/>
    </xf>
    <xf numFmtId="0" fontId="42" fillId="3" borderId="0" xfId="0" applyFont="1" applyFill="1" applyAlignment="1">
      <alignment horizontal="center"/>
    </xf>
    <xf numFmtId="0" fontId="42" fillId="3" borderId="0" xfId="0" applyFont="1" applyFill="1" applyAlignment="1">
      <alignment horizontal="center" vertical="center"/>
    </xf>
    <xf numFmtId="0" fontId="42" fillId="3" borderId="4" xfId="0" applyFont="1" applyFill="1" applyBorder="1" applyAlignment="1">
      <alignment horizontal="center" vertical="center"/>
    </xf>
    <xf numFmtId="0" fontId="42" fillId="3" borderId="3" xfId="0" applyFont="1" applyFill="1" applyBorder="1" applyAlignment="1">
      <alignment horizontal="center" vertical="center"/>
    </xf>
    <xf numFmtId="0" fontId="42" fillId="3" borderId="14" xfId="0" applyFont="1" applyFill="1" applyBorder="1" applyAlignment="1">
      <alignment horizontal="center" vertical="center"/>
    </xf>
    <xf numFmtId="0" fontId="37" fillId="0" borderId="2" xfId="0" applyFont="1" applyBorder="1" applyAlignment="1">
      <alignment horizontal="center" vertical="center"/>
    </xf>
    <xf numFmtId="0" fontId="37" fillId="0" borderId="0" xfId="0" applyFont="1" applyAlignment="1">
      <alignment horizontal="center" vertical="center"/>
    </xf>
    <xf numFmtId="0" fontId="37" fillId="0" borderId="4" xfId="0" applyFont="1" applyBorder="1" applyAlignment="1">
      <alignment horizontal="center" vertical="center"/>
    </xf>
    <xf numFmtId="0" fontId="38" fillId="12" borderId="2" xfId="0" applyFont="1" applyFill="1" applyBorder="1" applyAlignment="1">
      <alignment horizontal="center" vertical="center"/>
    </xf>
    <xf numFmtId="0" fontId="38" fillId="12" borderId="0" xfId="0" applyFont="1" applyFill="1" applyAlignment="1">
      <alignment horizontal="center" vertical="center"/>
    </xf>
    <xf numFmtId="0" fontId="38" fillId="12" borderId="4" xfId="0" applyFont="1" applyFill="1" applyBorder="1" applyAlignment="1">
      <alignment horizontal="center" vertical="center"/>
    </xf>
    <xf numFmtId="0" fontId="38" fillId="2" borderId="2" xfId="0" applyFont="1" applyFill="1" applyBorder="1" applyAlignment="1">
      <alignment horizontal="center" vertical="center"/>
    </xf>
    <xf numFmtId="0" fontId="38" fillId="2" borderId="0" xfId="0" applyFont="1" applyFill="1" applyAlignment="1">
      <alignment horizontal="center" vertical="center"/>
    </xf>
    <xf numFmtId="0" fontId="38" fillId="2" borderId="4" xfId="0" applyFont="1" applyFill="1" applyBorder="1" applyAlignment="1">
      <alignment horizontal="center" vertical="center"/>
    </xf>
    <xf numFmtId="0" fontId="13" fillId="14" borderId="2" xfId="0" applyFont="1" applyFill="1" applyBorder="1" applyAlignment="1">
      <alignment horizontal="center"/>
    </xf>
    <xf numFmtId="0" fontId="13" fillId="14" borderId="0" xfId="0" applyFont="1" applyFill="1" applyAlignment="1">
      <alignment horizontal="center"/>
    </xf>
    <xf numFmtId="0" fontId="13" fillId="14" borderId="4" xfId="0" applyFont="1" applyFill="1" applyBorder="1" applyAlignment="1">
      <alignment horizontal="center"/>
    </xf>
    <xf numFmtId="0" fontId="56" fillId="3" borderId="12" xfId="0" applyFont="1" applyFill="1" applyBorder="1" applyAlignment="1">
      <alignment horizontal="center" vertical="center" wrapText="1"/>
    </xf>
    <xf numFmtId="0" fontId="56" fillId="3" borderId="1" xfId="0" applyFont="1" applyFill="1" applyBorder="1" applyAlignment="1">
      <alignment horizontal="center" vertical="center" wrapText="1"/>
    </xf>
    <xf numFmtId="0" fontId="56" fillId="3" borderId="17" xfId="0" applyFont="1" applyFill="1" applyBorder="1" applyAlignment="1">
      <alignment horizontal="center" vertical="center" wrapText="1"/>
    </xf>
    <xf numFmtId="0" fontId="6" fillId="12" borderId="2" xfId="0" applyFont="1" applyFill="1" applyBorder="1" applyAlignment="1">
      <alignment horizontal="center"/>
    </xf>
    <xf numFmtId="0" fontId="6" fillId="12" borderId="0" xfId="0" applyFont="1" applyFill="1" applyAlignment="1">
      <alignment horizontal="center"/>
    </xf>
    <xf numFmtId="0" fontId="6" fillId="12" borderId="4" xfId="0" applyFont="1" applyFill="1" applyBorder="1" applyAlignment="1">
      <alignment horizontal="center"/>
    </xf>
    <xf numFmtId="0" fontId="35" fillId="0" borderId="16" xfId="0" applyFont="1" applyBorder="1" applyAlignment="1">
      <alignment horizontal="center" vertical="center"/>
    </xf>
    <xf numFmtId="0" fontId="35" fillId="0" borderId="3" xfId="0" applyFont="1" applyBorder="1" applyAlignment="1">
      <alignment horizontal="center" vertical="center"/>
    </xf>
    <xf numFmtId="0" fontId="35" fillId="0" borderId="14" xfId="0" applyFont="1" applyBorder="1" applyAlignment="1">
      <alignment horizontal="center" vertical="center"/>
    </xf>
    <xf numFmtId="0" fontId="71" fillId="0" borderId="0" xfId="0" applyFont="1" applyAlignment="1">
      <alignment horizontal="center"/>
    </xf>
    <xf numFmtId="0" fontId="83" fillId="29" borderId="5" xfId="0" applyFont="1" applyFill="1" applyBorder="1" applyAlignment="1">
      <alignment horizontal="center" vertical="center" wrapText="1"/>
    </xf>
    <xf numFmtId="0" fontId="81" fillId="25" borderId="0" xfId="0" applyFont="1" applyFill="1" applyAlignment="1">
      <alignment horizontal="center"/>
    </xf>
    <xf numFmtId="0" fontId="82" fillId="26" borderId="5" xfId="0" applyFont="1" applyFill="1" applyBorder="1" applyAlignment="1">
      <alignment horizontal="center"/>
    </xf>
    <xf numFmtId="0" fontId="74" fillId="0" borderId="5" xfId="0" applyFont="1" applyBorder="1"/>
    <xf numFmtId="0" fontId="82" fillId="27" borderId="5" xfId="0" applyFont="1" applyFill="1" applyBorder="1" applyAlignment="1">
      <alignment horizontal="center"/>
    </xf>
    <xf numFmtId="0" fontId="49" fillId="0" borderId="0" xfId="0" applyFont="1" applyAlignment="1">
      <alignment horizontal="center"/>
    </xf>
    <xf numFmtId="0" fontId="53" fillId="0" borderId="3" xfId="0" applyFont="1" applyBorder="1" applyAlignment="1">
      <alignment horizontal="center"/>
    </xf>
    <xf numFmtId="0" fontId="45" fillId="0" borderId="15" xfId="0" applyFont="1" applyBorder="1" applyAlignment="1">
      <alignment horizontal="center" vertical="center"/>
    </xf>
  </cellXfs>
  <cellStyles count="17">
    <cellStyle name="Comma" xfId="1" builtinId="3"/>
    <cellStyle name="Comma 2" xfId="10" xr:uid="{CDF92BBD-CA45-468C-9924-BAE9254B37E0}"/>
    <cellStyle name="Excel Built-in Normal" xfId="7" xr:uid="{164BD1CD-C9EE-423D-8687-A3A996437DFA}"/>
    <cellStyle name="Hyperlink" xfId="2" builtinId="8"/>
    <cellStyle name="Hyperlink 2" xfId="16" xr:uid="{18BE3BF6-5A9F-44DD-A026-1B506F6E348E}"/>
    <cellStyle name="Hyperlink 3" xfId="15" xr:uid="{1E7B5A98-2737-443A-BB78-2AF2F20B3FAC}"/>
    <cellStyle name="Normal" xfId="0" builtinId="0"/>
    <cellStyle name="Normal 14" xfId="12" xr:uid="{317CF277-6A96-47A8-9F47-115963347CF2}"/>
    <cellStyle name="Normal 2" xfId="3" xr:uid="{69C99293-7001-4D82-B63D-99C90372E693}"/>
    <cellStyle name="Normal 2 2" xfId="5" xr:uid="{096F09A0-0B3E-45D8-B9B9-41CC7D69A92A}"/>
    <cellStyle name="Normal 2 3" xfId="13" xr:uid="{A1EAF114-7F76-4F8A-8576-1DAFD0F7E7D9}"/>
    <cellStyle name="Normal 3" xfId="4" xr:uid="{FE79A8CB-F472-4304-A442-9A6AF2742483}"/>
    <cellStyle name="Normal 4" xfId="9" xr:uid="{2236E3ED-3B23-4442-B9AF-7594C9543FF6}"/>
    <cellStyle name="Normal 9" xfId="6" xr:uid="{A7E390A2-4B25-4484-B561-4AE5D66DD747}"/>
    <cellStyle name="Normal 94" xfId="14" xr:uid="{91A9220B-2B4E-4A52-9A72-F4E5C1C5F6C0}"/>
    <cellStyle name="Percent 2" xfId="11" xr:uid="{2545BCE6-1D8F-41B6-8024-30206BCF9B9B}"/>
    <cellStyle name="SAPBEXstdItem" xfId="8" xr:uid="{0E2A1E23-85EE-4ABB-82D4-527F0E555656}"/>
  </cellStyles>
  <dxfs count="2">
    <dxf>
      <fill>
        <patternFill>
          <bgColor rgb="FFFFFF00"/>
        </patternFill>
      </fill>
    </dxf>
    <dxf>
      <fill>
        <patternFill>
          <bgColor rgb="FFFFFF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xdr:col>
      <xdr:colOff>139700</xdr:colOff>
      <xdr:row>0</xdr:row>
      <xdr:rowOff>114300</xdr:rowOff>
    </xdr:from>
    <xdr:ext cx="1813877" cy="689769"/>
    <xdr:pic>
      <xdr:nvPicPr>
        <xdr:cNvPr id="105" name="Picture 104">
          <a:extLst>
            <a:ext uri="{FF2B5EF4-FFF2-40B4-BE49-F238E27FC236}">
              <a16:creationId xmlns:a16="http://schemas.microsoft.com/office/drawing/2014/main" id="{73FC927F-4ABD-40AC-9250-836A3D55B0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114300"/>
          <a:ext cx="1813877" cy="689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47626</xdr:colOff>
      <xdr:row>3</xdr:row>
      <xdr:rowOff>0</xdr:rowOff>
    </xdr:from>
    <xdr:to>
      <xdr:col>0</xdr:col>
      <xdr:colOff>47626</xdr:colOff>
      <xdr:row>5</xdr:row>
      <xdr:rowOff>85724</xdr:rowOff>
    </xdr:to>
    <xdr:pic>
      <xdr:nvPicPr>
        <xdr:cNvPr id="2" name="Picture 1">
          <a:extLst>
            <a:ext uri="{FF2B5EF4-FFF2-40B4-BE49-F238E27FC236}">
              <a16:creationId xmlns:a16="http://schemas.microsoft.com/office/drawing/2014/main" id="{5CE5C0D3-F65E-4A81-AD96-41ECE7225B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6" y="1009650"/>
          <a:ext cx="0" cy="485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1200151</xdr:colOff>
      <xdr:row>0</xdr:row>
      <xdr:rowOff>57151</xdr:rowOff>
    </xdr:from>
    <xdr:to>
      <xdr:col>5</xdr:col>
      <xdr:colOff>1200151</xdr:colOff>
      <xdr:row>3</xdr:row>
      <xdr:rowOff>85726</xdr:rowOff>
    </xdr:to>
    <xdr:pic>
      <xdr:nvPicPr>
        <xdr:cNvPr id="3" name="Picture 2">
          <a:extLst>
            <a:ext uri="{FF2B5EF4-FFF2-40B4-BE49-F238E27FC236}">
              <a16:creationId xmlns:a16="http://schemas.microsoft.com/office/drawing/2014/main" id="{17EEA080-C77C-4EBF-BA28-3C851F965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026" y="57151"/>
          <a:ext cx="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xdr:colOff>
      <xdr:row>32</xdr:row>
      <xdr:rowOff>104776</xdr:rowOff>
    </xdr:from>
    <xdr:to>
      <xdr:col>3</xdr:col>
      <xdr:colOff>47625</xdr:colOff>
      <xdr:row>35</xdr:row>
      <xdr:rowOff>42582</xdr:rowOff>
    </xdr:to>
    <xdr:pic>
      <xdr:nvPicPr>
        <xdr:cNvPr id="4" name="Picture 3">
          <a:extLst>
            <a:ext uri="{FF2B5EF4-FFF2-40B4-BE49-F238E27FC236}">
              <a16:creationId xmlns:a16="http://schemas.microsoft.com/office/drawing/2014/main" id="{21AD4D61-C6C1-42BC-B094-2CD7F66611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76425" y="6991351"/>
          <a:ext cx="0" cy="537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47626</xdr:colOff>
      <xdr:row>3</xdr:row>
      <xdr:rowOff>0</xdr:rowOff>
    </xdr:from>
    <xdr:to>
      <xdr:col>0</xdr:col>
      <xdr:colOff>47626</xdr:colOff>
      <xdr:row>5</xdr:row>
      <xdr:rowOff>85724</xdr:rowOff>
    </xdr:to>
    <xdr:pic>
      <xdr:nvPicPr>
        <xdr:cNvPr id="5" name="Picture 4">
          <a:extLst>
            <a:ext uri="{FF2B5EF4-FFF2-40B4-BE49-F238E27FC236}">
              <a16:creationId xmlns:a16="http://schemas.microsoft.com/office/drawing/2014/main" id="{B039AB88-B867-45A7-9156-AE2DE9A2E2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6" y="1009650"/>
          <a:ext cx="0" cy="485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xdr:colOff>
      <xdr:row>32</xdr:row>
      <xdr:rowOff>104776</xdr:rowOff>
    </xdr:from>
    <xdr:to>
      <xdr:col>3</xdr:col>
      <xdr:colOff>47625</xdr:colOff>
      <xdr:row>35</xdr:row>
      <xdr:rowOff>42582</xdr:rowOff>
    </xdr:to>
    <xdr:pic>
      <xdr:nvPicPr>
        <xdr:cNvPr id="6" name="Picture 5">
          <a:extLst>
            <a:ext uri="{FF2B5EF4-FFF2-40B4-BE49-F238E27FC236}">
              <a16:creationId xmlns:a16="http://schemas.microsoft.com/office/drawing/2014/main" id="{F722D93D-ACF4-4215-B38F-6AAC6D6595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76425" y="6991351"/>
          <a:ext cx="0" cy="537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47626</xdr:colOff>
      <xdr:row>3</xdr:row>
      <xdr:rowOff>0</xdr:rowOff>
    </xdr:from>
    <xdr:to>
      <xdr:col>0</xdr:col>
      <xdr:colOff>47626</xdr:colOff>
      <xdr:row>5</xdr:row>
      <xdr:rowOff>85724</xdr:rowOff>
    </xdr:to>
    <xdr:pic>
      <xdr:nvPicPr>
        <xdr:cNvPr id="7" name="Picture 6">
          <a:extLst>
            <a:ext uri="{FF2B5EF4-FFF2-40B4-BE49-F238E27FC236}">
              <a16:creationId xmlns:a16="http://schemas.microsoft.com/office/drawing/2014/main" id="{412D7756-7B5A-4C3C-87C7-9B9C53D568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6" y="1009650"/>
          <a:ext cx="0" cy="485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xdr:colOff>
      <xdr:row>32</xdr:row>
      <xdr:rowOff>104776</xdr:rowOff>
    </xdr:from>
    <xdr:to>
      <xdr:col>3</xdr:col>
      <xdr:colOff>47625</xdr:colOff>
      <xdr:row>35</xdr:row>
      <xdr:rowOff>42582</xdr:rowOff>
    </xdr:to>
    <xdr:pic>
      <xdr:nvPicPr>
        <xdr:cNvPr id="8" name="Picture 7">
          <a:extLst>
            <a:ext uri="{FF2B5EF4-FFF2-40B4-BE49-F238E27FC236}">
              <a16:creationId xmlns:a16="http://schemas.microsoft.com/office/drawing/2014/main" id="{944D2316-54C8-4CA5-ADC0-95BF071628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76425" y="6991351"/>
          <a:ext cx="0" cy="537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xdr:colOff>
      <xdr:row>0</xdr:row>
      <xdr:rowOff>76200</xdr:rowOff>
    </xdr:from>
    <xdr:to>
      <xdr:col>2</xdr:col>
      <xdr:colOff>203386</xdr:colOff>
      <xdr:row>1</xdr:row>
      <xdr:rowOff>19050</xdr:rowOff>
    </xdr:to>
    <xdr:pic>
      <xdr:nvPicPr>
        <xdr:cNvPr id="9" name="Picture 8">
          <a:extLst>
            <a:ext uri="{FF2B5EF4-FFF2-40B4-BE49-F238E27FC236}">
              <a16:creationId xmlns:a16="http://schemas.microsoft.com/office/drawing/2014/main" id="{6EB69626-4F31-44EE-8909-6B21444FA1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76200"/>
          <a:ext cx="1384486"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32</xdr:row>
      <xdr:rowOff>66675</xdr:rowOff>
    </xdr:from>
    <xdr:to>
      <xdr:col>4</xdr:col>
      <xdr:colOff>904875</xdr:colOff>
      <xdr:row>34</xdr:row>
      <xdr:rowOff>175931</xdr:rowOff>
    </xdr:to>
    <xdr:pic>
      <xdr:nvPicPr>
        <xdr:cNvPr id="10" name="Picture 9">
          <a:extLst>
            <a:ext uri="{FF2B5EF4-FFF2-40B4-BE49-F238E27FC236}">
              <a16:creationId xmlns:a16="http://schemas.microsoft.com/office/drawing/2014/main" id="{906184E9-DDBE-4E19-90C0-20C634BB2F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71700" y="6953250"/>
          <a:ext cx="1171575" cy="509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4</xdr:row>
      <xdr:rowOff>85725</xdr:rowOff>
    </xdr:from>
    <xdr:to>
      <xdr:col>4</xdr:col>
      <xdr:colOff>248182</xdr:colOff>
      <xdr:row>7</xdr:row>
      <xdr:rowOff>150172</xdr:rowOff>
    </xdr:to>
    <xdr:pic>
      <xdr:nvPicPr>
        <xdr:cNvPr id="11" name="Picture 10">
          <a:extLst>
            <a:ext uri="{FF2B5EF4-FFF2-40B4-BE49-F238E27FC236}">
              <a16:creationId xmlns:a16="http://schemas.microsoft.com/office/drawing/2014/main" id="{E462429C-339B-49A7-A7A2-7EFB4BE85F68}"/>
            </a:ext>
          </a:extLst>
        </xdr:cNvPr>
        <xdr:cNvPicPr>
          <a:picLocks noChangeAspect="1"/>
        </xdr:cNvPicPr>
      </xdr:nvPicPr>
      <xdr:blipFill>
        <a:blip xmlns:r="http://schemas.openxmlformats.org/officeDocument/2006/relationships" r:embed="rId4"/>
        <a:stretch>
          <a:fillRect/>
        </a:stretch>
      </xdr:blipFill>
      <xdr:spPr>
        <a:xfrm>
          <a:off x="942975" y="1295400"/>
          <a:ext cx="1743607" cy="664522"/>
        </a:xfrm>
        <a:prstGeom prst="rect">
          <a:avLst/>
        </a:prstGeom>
      </xdr:spPr>
    </xdr:pic>
    <xdr:clientData/>
  </xdr:twoCellAnchor>
  <xdr:twoCellAnchor editAs="oneCell">
    <xdr:from>
      <xdr:col>7</xdr:col>
      <xdr:colOff>1123950</xdr:colOff>
      <xdr:row>0</xdr:row>
      <xdr:rowOff>114300</xdr:rowOff>
    </xdr:from>
    <xdr:to>
      <xdr:col>7</xdr:col>
      <xdr:colOff>2916329</xdr:colOff>
      <xdr:row>2</xdr:row>
      <xdr:rowOff>145609</xdr:rowOff>
    </xdr:to>
    <xdr:pic>
      <xdr:nvPicPr>
        <xdr:cNvPr id="12" name="Picture 11">
          <a:extLst>
            <a:ext uri="{FF2B5EF4-FFF2-40B4-BE49-F238E27FC236}">
              <a16:creationId xmlns:a16="http://schemas.microsoft.com/office/drawing/2014/main" id="{A2729C9F-DB5A-48D1-8B21-7585E4AD76FE}"/>
            </a:ext>
          </a:extLst>
        </xdr:cNvPr>
        <xdr:cNvPicPr>
          <a:picLocks noChangeAspect="1"/>
        </xdr:cNvPicPr>
      </xdr:nvPicPr>
      <xdr:blipFill>
        <a:blip xmlns:r="http://schemas.openxmlformats.org/officeDocument/2006/relationships" r:embed="rId5"/>
        <a:stretch>
          <a:fillRect/>
        </a:stretch>
      </xdr:blipFill>
      <xdr:spPr>
        <a:xfrm>
          <a:off x="7391400" y="114300"/>
          <a:ext cx="1792379" cy="7742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88900</xdr:colOff>
      <xdr:row>1</xdr:row>
      <xdr:rowOff>100805</xdr:rowOff>
    </xdr:from>
    <xdr:ext cx="1813877" cy="689769"/>
    <xdr:pic>
      <xdr:nvPicPr>
        <xdr:cNvPr id="8" name="Picture 7">
          <a:extLst>
            <a:ext uri="{FF2B5EF4-FFF2-40B4-BE49-F238E27FC236}">
              <a16:creationId xmlns:a16="http://schemas.microsoft.com/office/drawing/2014/main" id="{4D090FC1-2B3D-4973-B9EF-7F7922A045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4100" y="291305"/>
          <a:ext cx="1813877" cy="689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158747</xdr:colOff>
      <xdr:row>40</xdr:row>
      <xdr:rowOff>23812</xdr:rowOff>
    </xdr:from>
    <xdr:to>
      <xdr:col>4</xdr:col>
      <xdr:colOff>178594</xdr:colOff>
      <xdr:row>55</xdr:row>
      <xdr:rowOff>142874</xdr:rowOff>
    </xdr:to>
    <xdr:cxnSp macro="">
      <xdr:nvCxnSpPr>
        <xdr:cNvPr id="9" name="Straight Connector 8">
          <a:extLst>
            <a:ext uri="{FF2B5EF4-FFF2-40B4-BE49-F238E27FC236}">
              <a16:creationId xmlns:a16="http://schemas.microsoft.com/office/drawing/2014/main" id="{0843450E-9561-46D5-AB88-B9683B19EDF6}"/>
            </a:ext>
          </a:extLst>
        </xdr:cNvPr>
        <xdr:cNvCxnSpPr/>
      </xdr:nvCxnSpPr>
      <xdr:spPr>
        <a:xfrm flipH="1">
          <a:off x="6502397" y="9139237"/>
          <a:ext cx="19847" cy="30908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7</xdr:col>
      <xdr:colOff>88900</xdr:colOff>
      <xdr:row>1</xdr:row>
      <xdr:rowOff>100805</xdr:rowOff>
    </xdr:from>
    <xdr:ext cx="1813877" cy="689769"/>
    <xdr:pic>
      <xdr:nvPicPr>
        <xdr:cNvPr id="10" name="Picture 9">
          <a:extLst>
            <a:ext uri="{FF2B5EF4-FFF2-40B4-BE49-F238E27FC236}">
              <a16:creationId xmlns:a16="http://schemas.microsoft.com/office/drawing/2014/main" id="{F65ED6AD-441E-4E67-9F1B-112E55FA9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4100" y="291305"/>
          <a:ext cx="1813877" cy="689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158747</xdr:colOff>
      <xdr:row>40</xdr:row>
      <xdr:rowOff>23812</xdr:rowOff>
    </xdr:from>
    <xdr:to>
      <xdr:col>4</xdr:col>
      <xdr:colOff>178594</xdr:colOff>
      <xdr:row>55</xdr:row>
      <xdr:rowOff>142874</xdr:rowOff>
    </xdr:to>
    <xdr:cxnSp macro="">
      <xdr:nvCxnSpPr>
        <xdr:cNvPr id="11" name="Straight Connector 10">
          <a:extLst>
            <a:ext uri="{FF2B5EF4-FFF2-40B4-BE49-F238E27FC236}">
              <a16:creationId xmlns:a16="http://schemas.microsoft.com/office/drawing/2014/main" id="{0F49C653-F8E1-4855-B5C2-E124B6A9FCDC}"/>
            </a:ext>
          </a:extLst>
        </xdr:cNvPr>
        <xdr:cNvCxnSpPr/>
      </xdr:nvCxnSpPr>
      <xdr:spPr>
        <a:xfrm flipH="1">
          <a:off x="6502397" y="9139237"/>
          <a:ext cx="19847" cy="30908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152400</xdr:colOff>
      <xdr:row>40</xdr:row>
      <xdr:rowOff>23812</xdr:rowOff>
    </xdr:from>
    <xdr:to>
      <xdr:col>4</xdr:col>
      <xdr:colOff>178594</xdr:colOff>
      <xdr:row>58</xdr:row>
      <xdr:rowOff>152400</xdr:rowOff>
    </xdr:to>
    <xdr:cxnSp macro="">
      <xdr:nvCxnSpPr>
        <xdr:cNvPr id="12" name="Straight Connector 11">
          <a:extLst>
            <a:ext uri="{FF2B5EF4-FFF2-40B4-BE49-F238E27FC236}">
              <a16:creationId xmlns:a16="http://schemas.microsoft.com/office/drawing/2014/main" id="{564AFF53-36D0-4153-BAB5-FF41B0E27329}"/>
            </a:ext>
          </a:extLst>
        </xdr:cNvPr>
        <xdr:cNvCxnSpPr/>
      </xdr:nvCxnSpPr>
      <xdr:spPr>
        <a:xfrm flipH="1">
          <a:off x="6496050" y="9139237"/>
          <a:ext cx="26194" cy="37004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7</xdr:col>
      <xdr:colOff>88900</xdr:colOff>
      <xdr:row>1</xdr:row>
      <xdr:rowOff>100805</xdr:rowOff>
    </xdr:from>
    <xdr:ext cx="1813877" cy="689769"/>
    <xdr:pic>
      <xdr:nvPicPr>
        <xdr:cNvPr id="15" name="Picture 14">
          <a:extLst>
            <a:ext uri="{FF2B5EF4-FFF2-40B4-BE49-F238E27FC236}">
              <a16:creationId xmlns:a16="http://schemas.microsoft.com/office/drawing/2014/main" id="{7B303EDC-EA77-4C0B-8B64-1637EF918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4100" y="291305"/>
          <a:ext cx="1813877" cy="689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158747</xdr:colOff>
      <xdr:row>40</xdr:row>
      <xdr:rowOff>23812</xdr:rowOff>
    </xdr:from>
    <xdr:to>
      <xdr:col>4</xdr:col>
      <xdr:colOff>178594</xdr:colOff>
      <xdr:row>55</xdr:row>
      <xdr:rowOff>142874</xdr:rowOff>
    </xdr:to>
    <xdr:cxnSp macro="">
      <xdr:nvCxnSpPr>
        <xdr:cNvPr id="16" name="Straight Connector 15">
          <a:extLst>
            <a:ext uri="{FF2B5EF4-FFF2-40B4-BE49-F238E27FC236}">
              <a16:creationId xmlns:a16="http://schemas.microsoft.com/office/drawing/2014/main" id="{C1A93458-64CD-4A81-898F-9D952D095D38}"/>
            </a:ext>
          </a:extLst>
        </xdr:cNvPr>
        <xdr:cNvCxnSpPr/>
      </xdr:nvCxnSpPr>
      <xdr:spPr>
        <a:xfrm flipH="1">
          <a:off x="6502397" y="9139237"/>
          <a:ext cx="19847" cy="30908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7</xdr:col>
      <xdr:colOff>88900</xdr:colOff>
      <xdr:row>1</xdr:row>
      <xdr:rowOff>100805</xdr:rowOff>
    </xdr:from>
    <xdr:ext cx="1813877" cy="689769"/>
    <xdr:pic>
      <xdr:nvPicPr>
        <xdr:cNvPr id="17" name="Picture 16">
          <a:extLst>
            <a:ext uri="{FF2B5EF4-FFF2-40B4-BE49-F238E27FC236}">
              <a16:creationId xmlns:a16="http://schemas.microsoft.com/office/drawing/2014/main" id="{2DC73D3F-ECE0-4F1D-97A3-5E32981F27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4100" y="291305"/>
          <a:ext cx="1813877" cy="689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158747</xdr:colOff>
      <xdr:row>40</xdr:row>
      <xdr:rowOff>23812</xdr:rowOff>
    </xdr:from>
    <xdr:to>
      <xdr:col>4</xdr:col>
      <xdr:colOff>178594</xdr:colOff>
      <xdr:row>55</xdr:row>
      <xdr:rowOff>142874</xdr:rowOff>
    </xdr:to>
    <xdr:cxnSp macro="">
      <xdr:nvCxnSpPr>
        <xdr:cNvPr id="18" name="Straight Connector 17">
          <a:extLst>
            <a:ext uri="{FF2B5EF4-FFF2-40B4-BE49-F238E27FC236}">
              <a16:creationId xmlns:a16="http://schemas.microsoft.com/office/drawing/2014/main" id="{3E996DA0-607E-44F7-8028-5C227CD6D901}"/>
            </a:ext>
          </a:extLst>
        </xdr:cNvPr>
        <xdr:cNvCxnSpPr/>
      </xdr:nvCxnSpPr>
      <xdr:spPr>
        <a:xfrm flipH="1">
          <a:off x="6502397" y="9139237"/>
          <a:ext cx="19847" cy="30908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152400</xdr:colOff>
      <xdr:row>40</xdr:row>
      <xdr:rowOff>23812</xdr:rowOff>
    </xdr:from>
    <xdr:to>
      <xdr:col>4</xdr:col>
      <xdr:colOff>178594</xdr:colOff>
      <xdr:row>58</xdr:row>
      <xdr:rowOff>152400</xdr:rowOff>
    </xdr:to>
    <xdr:cxnSp macro="">
      <xdr:nvCxnSpPr>
        <xdr:cNvPr id="19" name="Straight Connector 18">
          <a:extLst>
            <a:ext uri="{FF2B5EF4-FFF2-40B4-BE49-F238E27FC236}">
              <a16:creationId xmlns:a16="http://schemas.microsoft.com/office/drawing/2014/main" id="{88B0A8E6-2851-4802-8B16-557177832C4C}"/>
            </a:ext>
          </a:extLst>
        </xdr:cNvPr>
        <xdr:cNvCxnSpPr/>
      </xdr:nvCxnSpPr>
      <xdr:spPr>
        <a:xfrm flipH="1">
          <a:off x="6496050" y="9139237"/>
          <a:ext cx="26194" cy="37004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7</xdr:col>
      <xdr:colOff>88900</xdr:colOff>
      <xdr:row>1</xdr:row>
      <xdr:rowOff>100805</xdr:rowOff>
    </xdr:from>
    <xdr:ext cx="1813877" cy="689769"/>
    <xdr:pic>
      <xdr:nvPicPr>
        <xdr:cNvPr id="7" name="Picture 6">
          <a:extLst>
            <a:ext uri="{FF2B5EF4-FFF2-40B4-BE49-F238E27FC236}">
              <a16:creationId xmlns:a16="http://schemas.microsoft.com/office/drawing/2014/main" id="{61B24AD9-8EDF-44C5-9FD0-7A23F4DB3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4100" y="291305"/>
          <a:ext cx="1813877" cy="689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158747</xdr:colOff>
      <xdr:row>40</xdr:row>
      <xdr:rowOff>23812</xdr:rowOff>
    </xdr:from>
    <xdr:to>
      <xdr:col>4</xdr:col>
      <xdr:colOff>178594</xdr:colOff>
      <xdr:row>55</xdr:row>
      <xdr:rowOff>142874</xdr:rowOff>
    </xdr:to>
    <xdr:cxnSp macro="">
      <xdr:nvCxnSpPr>
        <xdr:cNvPr id="13" name="Straight Connector 12">
          <a:extLst>
            <a:ext uri="{FF2B5EF4-FFF2-40B4-BE49-F238E27FC236}">
              <a16:creationId xmlns:a16="http://schemas.microsoft.com/office/drawing/2014/main" id="{9D2B4B16-777B-4E35-BE80-DFE433E3ABFE}"/>
            </a:ext>
          </a:extLst>
        </xdr:cNvPr>
        <xdr:cNvCxnSpPr/>
      </xdr:nvCxnSpPr>
      <xdr:spPr>
        <a:xfrm flipH="1">
          <a:off x="6502397" y="9139237"/>
          <a:ext cx="19847" cy="30908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7</xdr:col>
      <xdr:colOff>88900</xdr:colOff>
      <xdr:row>1</xdr:row>
      <xdr:rowOff>100805</xdr:rowOff>
    </xdr:from>
    <xdr:ext cx="1813877" cy="689769"/>
    <xdr:pic>
      <xdr:nvPicPr>
        <xdr:cNvPr id="14" name="Picture 13">
          <a:extLst>
            <a:ext uri="{FF2B5EF4-FFF2-40B4-BE49-F238E27FC236}">
              <a16:creationId xmlns:a16="http://schemas.microsoft.com/office/drawing/2014/main" id="{B929E8C7-9134-4955-8B80-0DB5CDE14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4100" y="291305"/>
          <a:ext cx="1813877" cy="689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158747</xdr:colOff>
      <xdr:row>40</xdr:row>
      <xdr:rowOff>23812</xdr:rowOff>
    </xdr:from>
    <xdr:to>
      <xdr:col>4</xdr:col>
      <xdr:colOff>178594</xdr:colOff>
      <xdr:row>55</xdr:row>
      <xdr:rowOff>142874</xdr:rowOff>
    </xdr:to>
    <xdr:cxnSp macro="">
      <xdr:nvCxnSpPr>
        <xdr:cNvPr id="20" name="Straight Connector 19">
          <a:extLst>
            <a:ext uri="{FF2B5EF4-FFF2-40B4-BE49-F238E27FC236}">
              <a16:creationId xmlns:a16="http://schemas.microsoft.com/office/drawing/2014/main" id="{22C6B77B-B002-4E42-BB24-2BF2F7FCEE3F}"/>
            </a:ext>
          </a:extLst>
        </xdr:cNvPr>
        <xdr:cNvCxnSpPr/>
      </xdr:nvCxnSpPr>
      <xdr:spPr>
        <a:xfrm flipH="1">
          <a:off x="6502397" y="9139237"/>
          <a:ext cx="19847" cy="30908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152400</xdr:colOff>
      <xdr:row>40</xdr:row>
      <xdr:rowOff>23812</xdr:rowOff>
    </xdr:from>
    <xdr:to>
      <xdr:col>4</xdr:col>
      <xdr:colOff>178594</xdr:colOff>
      <xdr:row>58</xdr:row>
      <xdr:rowOff>152400</xdr:rowOff>
    </xdr:to>
    <xdr:cxnSp macro="">
      <xdr:nvCxnSpPr>
        <xdr:cNvPr id="21" name="Straight Connector 20">
          <a:extLst>
            <a:ext uri="{FF2B5EF4-FFF2-40B4-BE49-F238E27FC236}">
              <a16:creationId xmlns:a16="http://schemas.microsoft.com/office/drawing/2014/main" id="{E31D7D5E-F6FD-468E-BC5C-94087E757A8F}"/>
            </a:ext>
          </a:extLst>
        </xdr:cNvPr>
        <xdr:cNvCxnSpPr/>
      </xdr:nvCxnSpPr>
      <xdr:spPr>
        <a:xfrm flipH="1">
          <a:off x="6496050" y="9139237"/>
          <a:ext cx="26194" cy="37004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39296</xdr:colOff>
      <xdr:row>28</xdr:row>
      <xdr:rowOff>134113</xdr:rowOff>
    </xdr:to>
    <xdr:pic>
      <xdr:nvPicPr>
        <xdr:cNvPr id="3" name="Picture 2">
          <a:extLst>
            <a:ext uri="{FF2B5EF4-FFF2-40B4-BE49-F238E27FC236}">
              <a16:creationId xmlns:a16="http://schemas.microsoft.com/office/drawing/2014/main" id="{10C68234-62EC-4956-98F1-1B3B0DC77D81}"/>
            </a:ext>
          </a:extLst>
        </xdr:cNvPr>
        <xdr:cNvPicPr>
          <a:picLocks noChangeAspect="1"/>
        </xdr:cNvPicPr>
      </xdr:nvPicPr>
      <xdr:blipFill>
        <a:blip xmlns:r="http://schemas.openxmlformats.org/officeDocument/2006/relationships" r:embed="rId1"/>
        <a:stretch>
          <a:fillRect/>
        </a:stretch>
      </xdr:blipFill>
      <xdr:spPr>
        <a:xfrm>
          <a:off x="0" y="0"/>
          <a:ext cx="8573696" cy="54681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nbsprinting.com/order-here-usa" TargetMode="External"/><Relationship Id="rId1" Type="http://schemas.openxmlformats.org/officeDocument/2006/relationships/hyperlink" Target="https://www.nbsprinting.com/order-here-usa"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1CE85-FB3E-481C-9425-54E4CEFCC04B}">
  <sheetPr>
    <pageSetUpPr fitToPage="1"/>
  </sheetPr>
  <dimension ref="A1:AB168"/>
  <sheetViews>
    <sheetView zoomScale="75" zoomScaleNormal="75" workbookViewId="0">
      <pane ySplit="17" topLeftCell="A26" activePane="bottomLeft" state="frozen"/>
      <selection pane="bottomLeft" activeCell="J8" sqref="J8"/>
    </sheetView>
  </sheetViews>
  <sheetFormatPr defaultColWidth="0" defaultRowHeight="15.5" zeroHeight="1" x14ac:dyDescent="0.35"/>
  <cols>
    <col min="1" max="1" width="15.54296875" style="306" bestFit="1" customWidth="1"/>
    <col min="2" max="2" width="6.7265625" style="306" customWidth="1"/>
    <col min="3" max="3" width="6.26953125" style="306" customWidth="1"/>
    <col min="4" max="4" width="16.26953125" style="307" customWidth="1"/>
    <col min="5" max="5" width="14.26953125" style="307" customWidth="1"/>
    <col min="6" max="6" width="8.1796875" style="307" customWidth="1"/>
    <col min="7" max="7" width="17.54296875" style="307" bestFit="1" customWidth="1"/>
    <col min="8" max="8" width="20.54296875" style="306" bestFit="1" customWidth="1"/>
    <col min="9" max="9" width="5.1796875" style="306" bestFit="1" customWidth="1"/>
    <col min="10" max="10" width="19.453125" style="306" bestFit="1" customWidth="1"/>
    <col min="11" max="11" width="22.26953125" style="306" bestFit="1" customWidth="1"/>
    <col min="12" max="12" width="68.7265625" style="306" bestFit="1" customWidth="1"/>
    <col min="13" max="13" width="9.81640625" style="306" bestFit="1" customWidth="1"/>
    <col min="14" max="14" width="11.453125" style="363" bestFit="1" customWidth="1"/>
    <col min="15" max="15" width="24.1796875" style="307" customWidth="1"/>
    <col min="16" max="16" width="12" style="307" bestFit="1" customWidth="1"/>
    <col min="17" max="17" width="21.453125" style="307" bestFit="1" customWidth="1"/>
    <col min="18" max="18" width="25.81640625" style="306" bestFit="1" customWidth="1"/>
    <col min="19" max="19" width="16.1796875" style="307" bestFit="1" customWidth="1"/>
    <col min="20" max="20" width="3.453125" style="364" customWidth="1"/>
    <col min="21" max="21" width="32.54296875" style="306" hidden="1" customWidth="1"/>
    <col min="22" max="22" width="32.54296875" style="307" hidden="1" customWidth="1"/>
    <col min="23" max="23" width="7.1796875" style="307" hidden="1" customWidth="1"/>
    <col min="24" max="24" width="20.26953125" style="306" hidden="1" customWidth="1"/>
    <col min="25" max="25" width="7.1796875" style="307" hidden="1" customWidth="1"/>
    <col min="26" max="26" width="3" style="308" hidden="1" customWidth="1"/>
    <col min="27" max="27" width="23.1796875" style="306" hidden="1" customWidth="1"/>
    <col min="28" max="28" width="7.1796875" style="307" hidden="1" customWidth="1"/>
    <col min="29" max="16384" width="0" style="169" hidden="1"/>
  </cols>
  <sheetData>
    <row r="1" spans="1:28" ht="16" thickTop="1" x14ac:dyDescent="0.35">
      <c r="A1" s="114"/>
      <c r="B1" s="114"/>
      <c r="C1" s="113"/>
      <c r="D1" s="119"/>
      <c r="E1" s="120"/>
      <c r="F1" s="120"/>
      <c r="G1" s="120"/>
      <c r="H1" s="120"/>
      <c r="I1" s="120"/>
      <c r="J1" s="119"/>
      <c r="K1" s="119"/>
      <c r="L1" s="119"/>
      <c r="M1" s="113"/>
      <c r="N1" s="210"/>
      <c r="O1" s="142" t="s">
        <v>141</v>
      </c>
      <c r="P1" s="143"/>
      <c r="Q1" s="121" t="s">
        <v>224</v>
      </c>
      <c r="R1" s="122">
        <v>46181</v>
      </c>
      <c r="S1" s="116"/>
      <c r="T1" s="159"/>
      <c r="Y1" s="307">
        <v>0</v>
      </c>
      <c r="AB1" s="307">
        <v>0</v>
      </c>
    </row>
    <row r="2" spans="1:28" ht="16" thickBot="1" x14ac:dyDescent="0.4">
      <c r="A2" s="114"/>
      <c r="B2" s="114"/>
      <c r="C2" s="113"/>
      <c r="D2" s="119"/>
      <c r="E2" s="120"/>
      <c r="F2" s="120"/>
      <c r="G2" s="120"/>
      <c r="H2" s="120"/>
      <c r="I2" s="120"/>
      <c r="K2" s="123" t="s">
        <v>225</v>
      </c>
      <c r="L2" s="124" t="s">
        <v>226</v>
      </c>
      <c r="M2" s="113"/>
      <c r="N2" s="210"/>
      <c r="O2" s="144" t="s">
        <v>142</v>
      </c>
      <c r="P2" s="145"/>
      <c r="Q2" s="125" t="s">
        <v>227</v>
      </c>
      <c r="R2" s="122">
        <v>46191</v>
      </c>
      <c r="S2" s="116"/>
      <c r="T2" s="159"/>
    </row>
    <row r="3" spans="1:28" ht="16" thickBot="1" x14ac:dyDescent="0.4">
      <c r="A3" s="119"/>
      <c r="B3" s="119"/>
      <c r="C3" s="113"/>
      <c r="D3" s="114"/>
      <c r="E3" s="115"/>
      <c r="F3" s="115"/>
      <c r="G3" s="115"/>
      <c r="H3" s="115"/>
      <c r="I3" s="115"/>
      <c r="K3" s="123" t="s">
        <v>0</v>
      </c>
      <c r="L3" s="126" t="s">
        <v>269</v>
      </c>
      <c r="M3" s="113"/>
      <c r="N3" s="210"/>
      <c r="O3" s="144" t="s">
        <v>143</v>
      </c>
      <c r="P3" s="146"/>
      <c r="Q3" s="123"/>
      <c r="R3" s="127"/>
      <c r="S3" s="116"/>
      <c r="T3" s="159"/>
    </row>
    <row r="4" spans="1:28" ht="16" thickBot="1" x14ac:dyDescent="0.4">
      <c r="A4" s="119"/>
      <c r="B4" s="119"/>
      <c r="C4" s="113"/>
      <c r="D4" s="114"/>
      <c r="E4" s="115"/>
      <c r="F4" s="115"/>
      <c r="G4" s="115"/>
      <c r="H4" s="115"/>
      <c r="I4" s="115"/>
      <c r="K4" s="123" t="s">
        <v>228</v>
      </c>
      <c r="L4" s="126" t="s">
        <v>270</v>
      </c>
      <c r="M4" s="113"/>
      <c r="N4" s="210"/>
      <c r="O4" s="144" t="s">
        <v>158</v>
      </c>
      <c r="P4" s="146"/>
      <c r="Q4" s="123"/>
      <c r="R4" s="127"/>
      <c r="S4" s="116"/>
      <c r="T4" s="159"/>
    </row>
    <row r="5" spans="1:28" ht="16.5" thickTop="1" thickBot="1" x14ac:dyDescent="0.4">
      <c r="A5" s="309"/>
      <c r="B5" s="310" t="s">
        <v>229</v>
      </c>
      <c r="C5" s="156"/>
      <c r="D5" s="156"/>
      <c r="E5" s="207"/>
      <c r="F5" s="207"/>
      <c r="G5" s="207"/>
      <c r="H5" s="380"/>
      <c r="I5" s="157"/>
      <c r="K5" s="129" t="s">
        <v>230</v>
      </c>
      <c r="L5" s="243" t="s">
        <v>216</v>
      </c>
      <c r="M5" s="113"/>
      <c r="N5" s="210"/>
      <c r="O5" s="144" t="s">
        <v>7</v>
      </c>
      <c r="P5" s="146"/>
      <c r="Q5" s="121" t="s">
        <v>231</v>
      </c>
      <c r="R5" s="153" t="s">
        <v>232</v>
      </c>
      <c r="S5" s="116"/>
      <c r="T5" s="159"/>
    </row>
    <row r="6" spans="1:28" s="315" customFormat="1" ht="35.25" customHeight="1" thickBot="1" x14ac:dyDescent="0.4">
      <c r="A6" s="311"/>
      <c r="B6" s="312" t="s">
        <v>233</v>
      </c>
      <c r="C6" s="163"/>
      <c r="D6" s="163"/>
      <c r="E6" s="163"/>
      <c r="F6" s="163"/>
      <c r="G6" s="163"/>
      <c r="H6" s="381"/>
      <c r="I6" s="164"/>
      <c r="J6" s="313"/>
      <c r="K6" s="129" t="s">
        <v>234</v>
      </c>
      <c r="L6" s="130" t="s">
        <v>271</v>
      </c>
      <c r="M6" s="250"/>
      <c r="N6" s="251"/>
      <c r="O6" s="252" t="s">
        <v>144</v>
      </c>
      <c r="P6" s="253"/>
      <c r="Q6" s="131" t="s">
        <v>235</v>
      </c>
      <c r="R6" s="140" t="s">
        <v>272</v>
      </c>
      <c r="S6" s="254"/>
      <c r="T6" s="255"/>
      <c r="U6" s="313"/>
      <c r="V6" s="314"/>
      <c r="W6" s="314"/>
      <c r="X6" s="313"/>
      <c r="Y6" s="314"/>
      <c r="AA6" s="313"/>
      <c r="AB6" s="314"/>
    </row>
    <row r="7" spans="1:28" ht="16" thickBot="1" x14ac:dyDescent="0.4">
      <c r="A7" s="311"/>
      <c r="B7" s="312" t="s">
        <v>236</v>
      </c>
      <c r="C7" s="160"/>
      <c r="D7" s="160"/>
      <c r="E7" s="160"/>
      <c r="F7" s="160"/>
      <c r="G7" s="160"/>
      <c r="H7" s="382"/>
      <c r="I7" s="161"/>
      <c r="K7" s="129" t="s">
        <v>237</v>
      </c>
      <c r="L7" s="132" t="s">
        <v>309</v>
      </c>
      <c r="M7" s="113"/>
      <c r="N7" s="210"/>
      <c r="O7" s="147"/>
      <c r="P7" s="162"/>
      <c r="Q7" s="114"/>
      <c r="R7" s="113"/>
      <c r="S7" s="116"/>
      <c r="T7" s="159"/>
    </row>
    <row r="8" spans="1:28" ht="28.5" customHeight="1" thickBot="1" x14ac:dyDescent="0.4">
      <c r="A8" s="311"/>
      <c r="C8" s="312" t="s">
        <v>238</v>
      </c>
      <c r="D8" s="163"/>
      <c r="E8" s="163"/>
      <c r="F8" s="163"/>
      <c r="G8" s="163"/>
      <c r="H8" s="381"/>
      <c r="I8" s="164"/>
      <c r="J8" s="114"/>
      <c r="K8" s="114"/>
      <c r="L8" s="113"/>
      <c r="M8" s="113"/>
      <c r="N8" s="210"/>
      <c r="O8" s="128"/>
      <c r="P8" s="128"/>
      <c r="Q8" s="121" t="s">
        <v>239</v>
      </c>
      <c r="R8" s="154" t="s">
        <v>122</v>
      </c>
      <c r="S8" s="133"/>
      <c r="T8" s="159"/>
    </row>
    <row r="9" spans="1:28" ht="93.5" thickBot="1" x14ac:dyDescent="0.4">
      <c r="A9" s="311"/>
      <c r="B9" s="316" t="s">
        <v>240</v>
      </c>
      <c r="C9" s="383"/>
      <c r="D9" s="384"/>
      <c r="E9" s="384"/>
      <c r="F9" s="384"/>
      <c r="G9" s="384"/>
      <c r="H9" s="385"/>
      <c r="I9" s="386"/>
      <c r="J9" s="118"/>
      <c r="K9" s="118"/>
      <c r="L9" s="317" t="s">
        <v>241</v>
      </c>
      <c r="M9" s="318"/>
      <c r="N9" s="211"/>
      <c r="Q9" s="134"/>
      <c r="R9" s="135"/>
      <c r="S9" s="136"/>
      <c r="T9" s="177"/>
    </row>
    <row r="10" spans="1:28" ht="14.25" customHeight="1" thickBot="1" x14ac:dyDescent="0.5">
      <c r="A10" s="319"/>
      <c r="B10" s="155"/>
      <c r="C10" s="244"/>
      <c r="D10" s="320" t="s">
        <v>242</v>
      </c>
      <c r="E10" s="245"/>
      <c r="F10" s="245"/>
      <c r="G10" s="245"/>
      <c r="H10" s="208"/>
      <c r="I10" s="165"/>
      <c r="J10" s="114"/>
      <c r="K10" s="114"/>
      <c r="L10" s="321"/>
      <c r="M10" s="158"/>
      <c r="N10" s="212"/>
      <c r="O10" s="134" t="s">
        <v>243</v>
      </c>
      <c r="P10" s="376"/>
      <c r="Q10" s="138"/>
      <c r="R10" s="133"/>
      <c r="S10" s="117"/>
      <c r="T10" s="159"/>
    </row>
    <row r="11" spans="1:28" ht="16.5" thickTop="1" thickBot="1" x14ac:dyDescent="0.4">
      <c r="A11" s="150"/>
      <c r="B11" s="150"/>
      <c r="C11" s="166"/>
      <c r="D11" s="167"/>
      <c r="E11" s="168"/>
      <c r="F11" s="168"/>
      <c r="G11" s="168"/>
      <c r="H11" s="168"/>
      <c r="I11" s="168"/>
      <c r="J11" s="151"/>
      <c r="K11" s="151"/>
      <c r="L11" s="322" t="s">
        <v>244</v>
      </c>
      <c r="M11" s="158"/>
      <c r="N11" s="212"/>
      <c r="O11" s="137"/>
      <c r="P11" s="123"/>
      <c r="Q11" s="138"/>
      <c r="R11" s="133"/>
      <c r="S11" s="117"/>
      <c r="T11" s="159"/>
    </row>
    <row r="12" spans="1:28" x14ac:dyDescent="0.35">
      <c r="A12" s="150"/>
      <c r="B12" s="150"/>
      <c r="C12" s="166"/>
      <c r="D12" s="167"/>
      <c r="E12" s="168"/>
      <c r="F12" s="168"/>
      <c r="G12" s="168"/>
      <c r="H12" s="168"/>
      <c r="I12" s="168"/>
      <c r="J12" s="151"/>
      <c r="K12" s="151"/>
      <c r="L12" s="158"/>
      <c r="M12" s="158"/>
      <c r="N12" s="212"/>
      <c r="O12" s="137"/>
      <c r="P12" s="123"/>
      <c r="Q12" s="138"/>
      <c r="R12" s="133"/>
      <c r="S12" s="117"/>
      <c r="T12" s="159"/>
    </row>
    <row r="13" spans="1:28" ht="16" thickBot="1" x14ac:dyDescent="0.4">
      <c r="A13" s="150"/>
      <c r="B13" s="150"/>
      <c r="C13" s="166"/>
      <c r="D13" s="167"/>
      <c r="E13" s="168"/>
      <c r="F13" s="168"/>
      <c r="G13" s="168"/>
      <c r="H13" s="168"/>
      <c r="I13" s="168"/>
      <c r="J13" s="151"/>
      <c r="K13" s="151"/>
      <c r="L13" s="158"/>
      <c r="M13" s="158"/>
      <c r="N13" s="212"/>
      <c r="O13" s="137"/>
      <c r="P13" s="123"/>
      <c r="Q13" s="138"/>
      <c r="R13" s="133"/>
      <c r="S13" s="117"/>
      <c r="T13" s="159"/>
    </row>
    <row r="14" spans="1:28" x14ac:dyDescent="0.35">
      <c r="A14" s="323"/>
      <c r="B14" s="324" t="s">
        <v>245</v>
      </c>
      <c r="C14" s="325"/>
      <c r="D14" s="325"/>
      <c r="E14" s="325"/>
      <c r="F14" s="325"/>
      <c r="G14" s="325"/>
      <c r="H14" s="325"/>
      <c r="I14" s="325"/>
      <c r="J14" s="325"/>
      <c r="K14" s="325"/>
      <c r="L14" s="325"/>
      <c r="M14" s="326"/>
      <c r="N14" s="213"/>
      <c r="O14" s="178"/>
      <c r="P14" s="179"/>
      <c r="Q14" s="179"/>
      <c r="R14" s="179"/>
      <c r="S14" s="179"/>
      <c r="T14" s="178"/>
      <c r="U14" s="327"/>
      <c r="V14" s="328"/>
      <c r="W14" s="328"/>
      <c r="X14" s="327"/>
      <c r="Y14" s="328"/>
      <c r="AA14" s="327"/>
      <c r="AB14" s="328"/>
    </row>
    <row r="15" spans="1:28" ht="16" thickBot="1" x14ac:dyDescent="0.4">
      <c r="A15" s="329"/>
      <c r="B15" s="330" t="s">
        <v>246</v>
      </c>
      <c r="C15" s="331"/>
      <c r="D15" s="331"/>
      <c r="E15" s="332"/>
      <c r="F15" s="332"/>
      <c r="G15" s="332"/>
      <c r="H15" s="332"/>
      <c r="I15" s="332"/>
      <c r="J15" s="331"/>
      <c r="K15" s="331"/>
      <c r="L15" s="331"/>
      <c r="M15" s="333"/>
      <c r="N15" s="334"/>
      <c r="O15" s="335"/>
      <c r="P15" s="335">
        <v>0</v>
      </c>
      <c r="Q15" s="335">
        <v>0</v>
      </c>
      <c r="R15" s="335">
        <v>0</v>
      </c>
      <c r="S15" s="335">
        <v>0</v>
      </c>
      <c r="T15" s="328"/>
      <c r="U15" s="327"/>
      <c r="V15" s="328"/>
      <c r="W15" s="328"/>
      <c r="X15" s="327"/>
      <c r="Y15" s="328"/>
      <c r="AA15" s="327"/>
      <c r="AB15" s="328"/>
    </row>
    <row r="16" spans="1:28" ht="16.5" thickTop="1" thickBot="1" x14ac:dyDescent="0.4">
      <c r="A16" s="329"/>
      <c r="B16" s="329"/>
      <c r="C16" s="329"/>
      <c r="D16" s="336"/>
      <c r="E16" s="323"/>
      <c r="F16" s="323"/>
      <c r="G16" s="323"/>
      <c r="H16" s="323"/>
      <c r="I16" s="323"/>
      <c r="J16" s="323"/>
      <c r="K16" s="323"/>
      <c r="L16" s="337"/>
      <c r="M16" s="323"/>
      <c r="N16" s="334"/>
      <c r="O16" s="323"/>
      <c r="P16" s="338">
        <v>13</v>
      </c>
      <c r="Q16" s="339">
        <v>192</v>
      </c>
      <c r="R16" s="340">
        <v>1968</v>
      </c>
      <c r="S16" s="340">
        <v>8158.0800000000008</v>
      </c>
      <c r="T16" s="341"/>
      <c r="U16" s="327"/>
      <c r="V16" s="328"/>
      <c r="W16" s="328"/>
      <c r="X16" s="327"/>
      <c r="Y16" s="328"/>
      <c r="AA16" s="327"/>
      <c r="AB16" s="328"/>
    </row>
    <row r="17" spans="1:28" s="351" customFormat="1" ht="52.5" customHeight="1" thickTop="1" x14ac:dyDescent="0.35">
      <c r="A17" s="342"/>
      <c r="B17" s="343" t="s">
        <v>247</v>
      </c>
      <c r="C17" s="343" t="s">
        <v>248</v>
      </c>
      <c r="D17" s="343" t="s">
        <v>249</v>
      </c>
      <c r="E17" s="343" t="s">
        <v>250</v>
      </c>
      <c r="F17" s="343" t="s">
        <v>251</v>
      </c>
      <c r="G17" s="343" t="s">
        <v>252</v>
      </c>
      <c r="H17" s="343" t="s">
        <v>253</v>
      </c>
      <c r="I17" s="343" t="s">
        <v>254</v>
      </c>
      <c r="J17" s="343" t="s">
        <v>255</v>
      </c>
      <c r="K17" s="343" t="s">
        <v>256</v>
      </c>
      <c r="L17" s="343" t="s">
        <v>13</v>
      </c>
      <c r="M17" s="343" t="s">
        <v>257</v>
      </c>
      <c r="N17" s="344" t="s">
        <v>258</v>
      </c>
      <c r="O17" s="343" t="s">
        <v>259</v>
      </c>
      <c r="P17" s="345" t="s">
        <v>260</v>
      </c>
      <c r="Q17" s="346" t="s">
        <v>261</v>
      </c>
      <c r="R17" s="346" t="s">
        <v>262</v>
      </c>
      <c r="S17" s="347" t="s">
        <v>263</v>
      </c>
      <c r="T17" s="348"/>
      <c r="U17" s="349" t="s">
        <v>264</v>
      </c>
      <c r="V17" s="349" t="s">
        <v>265</v>
      </c>
      <c r="W17" s="349" t="s">
        <v>266</v>
      </c>
      <c r="X17" s="350" t="s">
        <v>267</v>
      </c>
      <c r="Y17" s="349" t="s">
        <v>266</v>
      </c>
      <c r="AA17" s="350" t="s">
        <v>268</v>
      </c>
      <c r="AB17" s="352" t="s">
        <v>266</v>
      </c>
    </row>
    <row r="18" spans="1:28" ht="21" customHeight="1" x14ac:dyDescent="0.35">
      <c r="A18" s="353"/>
      <c r="B18" s="354">
        <v>1</v>
      </c>
      <c r="C18" s="355">
        <v>652</v>
      </c>
      <c r="D18" s="356">
        <v>6520730010701</v>
      </c>
      <c r="E18" s="356">
        <v>126899281</v>
      </c>
      <c r="F18" s="356" t="s">
        <v>273</v>
      </c>
      <c r="G18" s="356" t="s">
        <v>274</v>
      </c>
      <c r="H18" s="356" t="s">
        <v>275</v>
      </c>
      <c r="I18" s="356" t="s">
        <v>273</v>
      </c>
      <c r="J18" s="357" t="s">
        <v>276</v>
      </c>
      <c r="K18" s="357" t="s">
        <v>276</v>
      </c>
      <c r="L18" s="357" t="s">
        <v>277</v>
      </c>
      <c r="M18" s="358">
        <v>11.5</v>
      </c>
      <c r="N18" s="358">
        <v>49.99</v>
      </c>
      <c r="O18" s="357">
        <v>12</v>
      </c>
      <c r="P18" s="358">
        <v>2</v>
      </c>
      <c r="Q18" s="359">
        <v>24</v>
      </c>
      <c r="R18" s="360">
        <v>276</v>
      </c>
      <c r="S18" s="360">
        <v>1199.76</v>
      </c>
      <c r="T18" s="361"/>
      <c r="U18" s="306" t="s">
        <v>277</v>
      </c>
      <c r="V18" s="307" t="s">
        <v>277</v>
      </c>
      <c r="W18" s="306">
        <v>0</v>
      </c>
      <c r="X18" s="306">
        <v>49.99</v>
      </c>
      <c r="Y18" s="307">
        <v>0</v>
      </c>
      <c r="Z18" s="169"/>
      <c r="AA18" s="306">
        <v>49.99</v>
      </c>
      <c r="AB18" s="307">
        <v>0</v>
      </c>
    </row>
    <row r="19" spans="1:28" ht="21" customHeight="1" x14ac:dyDescent="0.35">
      <c r="A19" s="353"/>
      <c r="B19" s="362">
        <v>2</v>
      </c>
      <c r="C19" s="355">
        <v>652</v>
      </c>
      <c r="D19" s="356">
        <v>6529144010801</v>
      </c>
      <c r="E19" s="356">
        <v>126325960</v>
      </c>
      <c r="F19" s="356" t="s">
        <v>273</v>
      </c>
      <c r="G19" s="356" t="s">
        <v>274</v>
      </c>
      <c r="H19" s="356" t="s">
        <v>278</v>
      </c>
      <c r="I19" s="356" t="s">
        <v>273</v>
      </c>
      <c r="J19" s="357" t="s">
        <v>279</v>
      </c>
      <c r="K19" s="357" t="s">
        <v>279</v>
      </c>
      <c r="L19" s="357" t="s">
        <v>280</v>
      </c>
      <c r="M19" s="358">
        <v>12.5</v>
      </c>
      <c r="N19" s="358">
        <v>49.99</v>
      </c>
      <c r="O19" s="357">
        <v>12</v>
      </c>
      <c r="P19" s="358">
        <v>2</v>
      </c>
      <c r="Q19" s="359">
        <v>24</v>
      </c>
      <c r="R19" s="360">
        <v>300</v>
      </c>
      <c r="S19" s="360">
        <v>1199.76</v>
      </c>
      <c r="T19" s="361"/>
      <c r="U19" s="306" t="s">
        <v>280</v>
      </c>
      <c r="V19" s="307" t="s">
        <v>280</v>
      </c>
      <c r="W19" s="306">
        <v>0</v>
      </c>
      <c r="X19" s="306">
        <v>49.99</v>
      </c>
      <c r="Y19" s="307">
        <v>0</v>
      </c>
      <c r="Z19" s="169"/>
      <c r="AA19" s="306">
        <v>49.99</v>
      </c>
      <c r="AB19" s="307">
        <v>0</v>
      </c>
    </row>
    <row r="20" spans="1:28" ht="21" customHeight="1" x14ac:dyDescent="0.35">
      <c r="A20" s="353"/>
      <c r="B20" s="362">
        <v>3</v>
      </c>
      <c r="C20" s="355">
        <v>652</v>
      </c>
      <c r="D20" s="356">
        <v>6529146010601</v>
      </c>
      <c r="E20" s="356">
        <v>126328199</v>
      </c>
      <c r="F20" s="356" t="s">
        <v>273</v>
      </c>
      <c r="G20" s="356" t="s">
        <v>274</v>
      </c>
      <c r="H20" s="356" t="s">
        <v>281</v>
      </c>
      <c r="I20" s="356" t="s">
        <v>273</v>
      </c>
      <c r="J20" s="357" t="s">
        <v>282</v>
      </c>
      <c r="K20" s="357" t="s">
        <v>282</v>
      </c>
      <c r="L20" s="357" t="s">
        <v>283</v>
      </c>
      <c r="M20" s="358">
        <v>10.5</v>
      </c>
      <c r="N20" s="358">
        <v>39.99</v>
      </c>
      <c r="O20" s="357">
        <v>24</v>
      </c>
      <c r="P20" s="358">
        <v>1</v>
      </c>
      <c r="Q20" s="359">
        <v>24</v>
      </c>
      <c r="R20" s="360">
        <v>252</v>
      </c>
      <c r="S20" s="360">
        <v>959.76</v>
      </c>
      <c r="T20" s="361"/>
      <c r="U20" s="306" t="s">
        <v>283</v>
      </c>
      <c r="V20" s="307" t="s">
        <v>283</v>
      </c>
      <c r="W20" s="306">
        <v>0</v>
      </c>
      <c r="X20" s="306">
        <v>39.99</v>
      </c>
      <c r="Y20" s="307">
        <v>0</v>
      </c>
      <c r="Z20" s="169"/>
      <c r="AA20" s="306">
        <v>39.99</v>
      </c>
      <c r="AB20" s="307">
        <v>0</v>
      </c>
    </row>
    <row r="21" spans="1:28" ht="21" customHeight="1" x14ac:dyDescent="0.35">
      <c r="A21" s="353"/>
      <c r="B21" s="362">
        <v>4</v>
      </c>
      <c r="C21" s="355">
        <v>652</v>
      </c>
      <c r="D21" s="356">
        <v>6529147010501</v>
      </c>
      <c r="E21" s="356">
        <v>126328201</v>
      </c>
      <c r="F21" s="356" t="s">
        <v>273</v>
      </c>
      <c r="G21" s="356" t="s">
        <v>274</v>
      </c>
      <c r="H21" s="356" t="s">
        <v>284</v>
      </c>
      <c r="I21" s="356" t="s">
        <v>273</v>
      </c>
      <c r="J21" s="357" t="s">
        <v>285</v>
      </c>
      <c r="K21" s="357" t="s">
        <v>285</v>
      </c>
      <c r="L21" s="357" t="s">
        <v>283</v>
      </c>
      <c r="M21" s="358">
        <v>10.5</v>
      </c>
      <c r="N21" s="358">
        <v>39.99</v>
      </c>
      <c r="O21" s="357">
        <v>24</v>
      </c>
      <c r="P21" s="358">
        <v>1</v>
      </c>
      <c r="Q21" s="359">
        <v>24</v>
      </c>
      <c r="R21" s="360">
        <v>252</v>
      </c>
      <c r="S21" s="360">
        <v>959.76</v>
      </c>
      <c r="T21" s="361"/>
      <c r="U21" s="306" t="s">
        <v>283</v>
      </c>
      <c r="V21" s="307" t="s">
        <v>283</v>
      </c>
      <c r="W21" s="306">
        <v>0</v>
      </c>
      <c r="X21" s="306">
        <v>39.99</v>
      </c>
      <c r="Y21" s="307">
        <v>0</v>
      </c>
      <c r="Z21" s="169"/>
      <c r="AA21" s="306">
        <v>39.99</v>
      </c>
      <c r="AB21" s="307">
        <v>0</v>
      </c>
    </row>
    <row r="22" spans="1:28" ht="21" customHeight="1" x14ac:dyDescent="0.35">
      <c r="A22" s="353"/>
      <c r="B22" s="362">
        <v>5</v>
      </c>
      <c r="C22" s="355">
        <v>652</v>
      </c>
      <c r="D22" s="356">
        <v>6529148010401</v>
      </c>
      <c r="E22" s="356">
        <v>126369587</v>
      </c>
      <c r="F22" s="356" t="s">
        <v>273</v>
      </c>
      <c r="G22" s="356" t="s">
        <v>274</v>
      </c>
      <c r="H22" s="356" t="s">
        <v>286</v>
      </c>
      <c r="I22" s="356" t="s">
        <v>273</v>
      </c>
      <c r="J22" s="357" t="s">
        <v>287</v>
      </c>
      <c r="K22" s="357" t="s">
        <v>287</v>
      </c>
      <c r="L22" s="357" t="s">
        <v>288</v>
      </c>
      <c r="M22" s="358">
        <v>9</v>
      </c>
      <c r="N22" s="358">
        <v>39.99</v>
      </c>
      <c r="O22" s="357">
        <v>12</v>
      </c>
      <c r="P22" s="358">
        <v>2</v>
      </c>
      <c r="Q22" s="359">
        <v>24</v>
      </c>
      <c r="R22" s="360">
        <v>216</v>
      </c>
      <c r="S22" s="360">
        <v>959.76</v>
      </c>
      <c r="T22" s="361"/>
      <c r="U22" s="306" t="s">
        <v>288</v>
      </c>
      <c r="V22" s="307" t="s">
        <v>288</v>
      </c>
      <c r="W22" s="306">
        <v>0</v>
      </c>
      <c r="X22" s="306">
        <v>39.99</v>
      </c>
      <c r="Y22" s="307">
        <v>0</v>
      </c>
      <c r="Z22" s="169"/>
      <c r="AA22" s="306">
        <v>39.99</v>
      </c>
      <c r="AB22" s="307">
        <v>0</v>
      </c>
    </row>
    <row r="23" spans="1:28" ht="21" customHeight="1" x14ac:dyDescent="0.35">
      <c r="A23" s="353"/>
      <c r="B23" s="362">
        <v>6</v>
      </c>
      <c r="C23" s="355">
        <v>652</v>
      </c>
      <c r="D23" s="356">
        <v>6529149010301</v>
      </c>
      <c r="E23" s="356">
        <v>126369590</v>
      </c>
      <c r="F23" s="356" t="s">
        <v>273</v>
      </c>
      <c r="G23" s="356" t="s">
        <v>289</v>
      </c>
      <c r="H23" s="356" t="s">
        <v>281</v>
      </c>
      <c r="I23" s="356" t="s">
        <v>273</v>
      </c>
      <c r="J23" s="357" t="s">
        <v>290</v>
      </c>
      <c r="K23" s="357" t="s">
        <v>290</v>
      </c>
      <c r="L23" s="357" t="s">
        <v>291</v>
      </c>
      <c r="M23" s="358">
        <v>9.5</v>
      </c>
      <c r="N23" s="358">
        <v>39.99</v>
      </c>
      <c r="O23" s="357">
        <v>24</v>
      </c>
      <c r="P23" s="358">
        <v>1</v>
      </c>
      <c r="Q23" s="359">
        <v>24</v>
      </c>
      <c r="R23" s="360">
        <v>228</v>
      </c>
      <c r="S23" s="360">
        <v>959.76</v>
      </c>
      <c r="T23" s="361"/>
      <c r="U23" s="306" t="s">
        <v>291</v>
      </c>
      <c r="V23" s="307" t="s">
        <v>291</v>
      </c>
      <c r="W23" s="306">
        <v>0</v>
      </c>
      <c r="X23" s="306">
        <v>39.99</v>
      </c>
      <c r="Y23" s="307">
        <v>0</v>
      </c>
      <c r="Z23" s="169"/>
      <c r="AA23" s="306">
        <v>39.99</v>
      </c>
      <c r="AB23" s="307">
        <v>0</v>
      </c>
    </row>
    <row r="24" spans="1:28" ht="21" customHeight="1" x14ac:dyDescent="0.35">
      <c r="A24" s="353"/>
      <c r="B24" s="362">
        <v>7</v>
      </c>
      <c r="C24" s="355">
        <v>652</v>
      </c>
      <c r="D24" s="356">
        <v>6529154010501</v>
      </c>
      <c r="E24" s="356">
        <v>126369600</v>
      </c>
      <c r="F24" s="356" t="s">
        <v>273</v>
      </c>
      <c r="G24" s="356" t="s">
        <v>289</v>
      </c>
      <c r="H24" s="356" t="s">
        <v>281</v>
      </c>
      <c r="I24" s="356" t="s">
        <v>273</v>
      </c>
      <c r="J24" s="357" t="s">
        <v>292</v>
      </c>
      <c r="K24" s="357" t="s">
        <v>292</v>
      </c>
      <c r="L24" s="357" t="s">
        <v>293</v>
      </c>
      <c r="M24" s="358">
        <v>9.5</v>
      </c>
      <c r="N24" s="358">
        <v>39.99</v>
      </c>
      <c r="O24" s="357">
        <v>12</v>
      </c>
      <c r="P24" s="358">
        <v>2</v>
      </c>
      <c r="Q24" s="359">
        <v>24</v>
      </c>
      <c r="R24" s="360">
        <v>228</v>
      </c>
      <c r="S24" s="360">
        <v>959.76</v>
      </c>
      <c r="T24" s="361"/>
      <c r="U24" s="306" t="s">
        <v>293</v>
      </c>
      <c r="V24" s="307" t="s">
        <v>293</v>
      </c>
      <c r="W24" s="306">
        <v>0</v>
      </c>
      <c r="X24" s="306">
        <v>39.99</v>
      </c>
      <c r="Y24" s="307">
        <v>0</v>
      </c>
      <c r="Z24" s="169"/>
      <c r="AA24" s="306">
        <v>39.99</v>
      </c>
      <c r="AB24" s="307">
        <v>0</v>
      </c>
    </row>
    <row r="25" spans="1:28" ht="21" customHeight="1" x14ac:dyDescent="0.35">
      <c r="A25" s="353"/>
      <c r="B25" s="362">
        <v>8</v>
      </c>
      <c r="C25" s="355">
        <v>652</v>
      </c>
      <c r="D25" s="356">
        <v>6529157010201</v>
      </c>
      <c r="E25" s="356">
        <v>126369606</v>
      </c>
      <c r="F25" s="356" t="s">
        <v>273</v>
      </c>
      <c r="G25" s="356" t="s">
        <v>289</v>
      </c>
      <c r="H25" s="356" t="s">
        <v>284</v>
      </c>
      <c r="I25" s="356" t="s">
        <v>273</v>
      </c>
      <c r="J25" s="357" t="s">
        <v>294</v>
      </c>
      <c r="K25" s="357" t="s">
        <v>294</v>
      </c>
      <c r="L25" s="357" t="s">
        <v>295</v>
      </c>
      <c r="M25" s="358">
        <v>9</v>
      </c>
      <c r="N25" s="358">
        <v>39.99</v>
      </c>
      <c r="O25" s="357">
        <v>12</v>
      </c>
      <c r="P25" s="358">
        <v>2</v>
      </c>
      <c r="Q25" s="359">
        <v>24</v>
      </c>
      <c r="R25" s="360">
        <v>216</v>
      </c>
      <c r="S25" s="360">
        <v>959.76</v>
      </c>
      <c r="T25" s="361"/>
      <c r="U25" s="306" t="s">
        <v>295</v>
      </c>
      <c r="V25" s="307" t="s">
        <v>295</v>
      </c>
      <c r="W25" s="306">
        <v>0</v>
      </c>
      <c r="X25" s="306">
        <v>39.99</v>
      </c>
      <c r="Y25" s="307">
        <v>0</v>
      </c>
      <c r="Z25" s="169"/>
      <c r="AA25" s="306">
        <v>39.99</v>
      </c>
      <c r="AB25" s="307">
        <v>0</v>
      </c>
    </row>
    <row r="26" spans="1:28" ht="21" customHeight="1" x14ac:dyDescent="0.35">
      <c r="A26" s="353"/>
      <c r="B26" s="362"/>
      <c r="C26" s="355"/>
      <c r="D26" s="356"/>
      <c r="E26" s="356"/>
      <c r="F26" s="356"/>
      <c r="G26" s="356"/>
      <c r="H26" s="356"/>
      <c r="I26" s="356"/>
      <c r="J26" s="357"/>
      <c r="K26" s="357"/>
      <c r="L26" s="357"/>
      <c r="M26" s="358"/>
      <c r="N26" s="358"/>
      <c r="O26" s="357"/>
      <c r="P26" s="358"/>
      <c r="Q26" s="359"/>
      <c r="R26" s="360"/>
      <c r="S26" s="360"/>
      <c r="T26" s="361"/>
      <c r="W26" s="306"/>
      <c r="Z26" s="169"/>
    </row>
    <row r="27" spans="1:28" ht="21" hidden="1" customHeight="1" x14ac:dyDescent="0.35">
      <c r="A27" s="353"/>
      <c r="B27" s="362">
        <v>10</v>
      </c>
      <c r="C27" s="355">
        <v>0</v>
      </c>
      <c r="D27" s="356">
        <v>0</v>
      </c>
      <c r="E27" s="356">
        <v>0</v>
      </c>
      <c r="F27" s="356">
        <v>0</v>
      </c>
      <c r="G27" s="356">
        <v>0</v>
      </c>
      <c r="H27" s="356">
        <v>0</v>
      </c>
      <c r="I27" s="356">
        <v>0</v>
      </c>
      <c r="J27" s="357">
        <v>0</v>
      </c>
      <c r="K27" s="357">
        <v>0</v>
      </c>
      <c r="L27" s="357">
        <v>0</v>
      </c>
      <c r="M27" s="358">
        <v>0</v>
      </c>
      <c r="N27" s="358">
        <v>0</v>
      </c>
      <c r="O27" s="357">
        <v>0</v>
      </c>
      <c r="P27" s="358">
        <v>0</v>
      </c>
      <c r="Q27" s="359">
        <v>0</v>
      </c>
      <c r="R27" s="360">
        <v>0</v>
      </c>
      <c r="S27" s="360">
        <v>0</v>
      </c>
      <c r="T27" s="361"/>
      <c r="U27" s="306">
        <v>0</v>
      </c>
      <c r="V27" s="307">
        <v>0</v>
      </c>
      <c r="W27" s="306">
        <v>0</v>
      </c>
      <c r="X27" s="306">
        <v>0</v>
      </c>
      <c r="Y27" s="307">
        <v>0</v>
      </c>
      <c r="Z27" s="169"/>
      <c r="AA27" s="306">
        <v>17.989999999999998</v>
      </c>
      <c r="AB27" s="307">
        <v>17.989999999999998</v>
      </c>
    </row>
    <row r="28" spans="1:28" ht="21" hidden="1" customHeight="1" x14ac:dyDescent="0.35">
      <c r="A28" s="353"/>
      <c r="B28" s="362">
        <v>11</v>
      </c>
      <c r="C28" s="355">
        <v>0</v>
      </c>
      <c r="D28" s="356">
        <v>0</v>
      </c>
      <c r="E28" s="356">
        <v>0</v>
      </c>
      <c r="F28" s="356">
        <v>0</v>
      </c>
      <c r="G28" s="356">
        <v>0</v>
      </c>
      <c r="H28" s="356">
        <v>0</v>
      </c>
      <c r="I28" s="356">
        <v>0</v>
      </c>
      <c r="J28" s="357">
        <v>0</v>
      </c>
      <c r="K28" s="357">
        <v>0</v>
      </c>
      <c r="L28" s="357">
        <v>0</v>
      </c>
      <c r="M28" s="358">
        <v>0</v>
      </c>
      <c r="N28" s="358">
        <v>0</v>
      </c>
      <c r="O28" s="357">
        <v>0</v>
      </c>
      <c r="P28" s="358">
        <v>0</v>
      </c>
      <c r="Q28" s="359">
        <v>0</v>
      </c>
      <c r="R28" s="360">
        <v>0</v>
      </c>
      <c r="S28" s="360">
        <v>0</v>
      </c>
      <c r="T28" s="361"/>
      <c r="U28" s="306">
        <v>0</v>
      </c>
      <c r="V28" s="307">
        <v>0</v>
      </c>
      <c r="W28" s="306">
        <v>0</v>
      </c>
      <c r="X28" s="306">
        <v>0</v>
      </c>
      <c r="Y28" s="307">
        <v>0</v>
      </c>
      <c r="Z28" s="169"/>
      <c r="AA28" s="306">
        <v>17.989999999999998</v>
      </c>
      <c r="AB28" s="307">
        <v>17.989999999999998</v>
      </c>
    </row>
    <row r="29" spans="1:28" ht="21" hidden="1" customHeight="1" x14ac:dyDescent="0.35">
      <c r="A29" s="353"/>
      <c r="B29" s="362">
        <v>12</v>
      </c>
      <c r="C29" s="355">
        <v>0</v>
      </c>
      <c r="D29" s="356">
        <v>0</v>
      </c>
      <c r="E29" s="356">
        <v>0</v>
      </c>
      <c r="F29" s="356">
        <v>0</v>
      </c>
      <c r="G29" s="356">
        <v>0</v>
      </c>
      <c r="H29" s="356">
        <v>0</v>
      </c>
      <c r="I29" s="356">
        <v>0</v>
      </c>
      <c r="J29" s="357">
        <v>0</v>
      </c>
      <c r="K29" s="357">
        <v>0</v>
      </c>
      <c r="L29" s="357">
        <v>0</v>
      </c>
      <c r="M29" s="358">
        <v>0</v>
      </c>
      <c r="N29" s="358">
        <v>0</v>
      </c>
      <c r="O29" s="357">
        <v>0</v>
      </c>
      <c r="P29" s="358">
        <v>0</v>
      </c>
      <c r="Q29" s="359">
        <v>0</v>
      </c>
      <c r="R29" s="360">
        <v>0</v>
      </c>
      <c r="S29" s="360">
        <v>0</v>
      </c>
      <c r="T29" s="361"/>
      <c r="U29" s="306">
        <v>0</v>
      </c>
      <c r="V29" s="307">
        <v>0</v>
      </c>
      <c r="W29" s="306">
        <v>0</v>
      </c>
      <c r="X29" s="306">
        <v>0</v>
      </c>
      <c r="Y29" s="307">
        <v>0</v>
      </c>
      <c r="Z29" s="169"/>
      <c r="AA29" s="306">
        <v>17.989999999999998</v>
      </c>
      <c r="AB29" s="307">
        <v>17.989999999999998</v>
      </c>
    </row>
    <row r="30" spans="1:28" ht="21" hidden="1" customHeight="1" x14ac:dyDescent="0.35">
      <c r="A30" s="353"/>
      <c r="B30" s="362">
        <v>13</v>
      </c>
      <c r="C30" s="355">
        <v>0</v>
      </c>
      <c r="D30" s="356">
        <v>0</v>
      </c>
      <c r="E30" s="356">
        <v>0</v>
      </c>
      <c r="F30" s="356">
        <v>0</v>
      </c>
      <c r="G30" s="356">
        <v>0</v>
      </c>
      <c r="H30" s="356">
        <v>0</v>
      </c>
      <c r="I30" s="356">
        <v>0</v>
      </c>
      <c r="J30" s="357">
        <v>0</v>
      </c>
      <c r="K30" s="357">
        <v>0</v>
      </c>
      <c r="L30" s="357">
        <v>0</v>
      </c>
      <c r="M30" s="358">
        <v>0</v>
      </c>
      <c r="N30" s="358">
        <v>0</v>
      </c>
      <c r="O30" s="357">
        <v>0</v>
      </c>
      <c r="P30" s="358">
        <v>0</v>
      </c>
      <c r="Q30" s="359">
        <v>0</v>
      </c>
      <c r="R30" s="360">
        <v>0</v>
      </c>
      <c r="S30" s="360">
        <v>0</v>
      </c>
      <c r="T30" s="361"/>
      <c r="U30" s="306">
        <v>0</v>
      </c>
      <c r="V30" s="307">
        <v>0</v>
      </c>
      <c r="W30" s="306">
        <v>0</v>
      </c>
      <c r="X30" s="306">
        <v>0</v>
      </c>
      <c r="Y30" s="307">
        <v>0</v>
      </c>
      <c r="Z30" s="169"/>
      <c r="AA30" s="306">
        <v>17.989999999999998</v>
      </c>
      <c r="AB30" s="307">
        <v>17.989999999999998</v>
      </c>
    </row>
    <row r="31" spans="1:28" ht="21" hidden="1" customHeight="1" x14ac:dyDescent="0.35">
      <c r="A31" s="353"/>
      <c r="B31" s="362">
        <v>14</v>
      </c>
      <c r="C31" s="355">
        <v>0</v>
      </c>
      <c r="D31" s="356">
        <v>0</v>
      </c>
      <c r="E31" s="356">
        <v>0</v>
      </c>
      <c r="F31" s="356">
        <v>0</v>
      </c>
      <c r="G31" s="356">
        <v>0</v>
      </c>
      <c r="H31" s="356">
        <v>0</v>
      </c>
      <c r="I31" s="356">
        <v>0</v>
      </c>
      <c r="J31" s="357">
        <v>0</v>
      </c>
      <c r="K31" s="357">
        <v>0</v>
      </c>
      <c r="L31" s="357">
        <v>0</v>
      </c>
      <c r="M31" s="358">
        <v>0</v>
      </c>
      <c r="N31" s="358">
        <v>0</v>
      </c>
      <c r="O31" s="357">
        <v>0</v>
      </c>
      <c r="P31" s="358">
        <v>0</v>
      </c>
      <c r="Q31" s="359">
        <v>0</v>
      </c>
      <c r="R31" s="360">
        <v>0</v>
      </c>
      <c r="S31" s="360">
        <v>0</v>
      </c>
      <c r="T31" s="361"/>
      <c r="U31" s="306">
        <v>0</v>
      </c>
      <c r="V31" s="307">
        <v>0</v>
      </c>
      <c r="W31" s="306">
        <v>0</v>
      </c>
      <c r="X31" s="306">
        <v>0</v>
      </c>
      <c r="Y31" s="307">
        <v>0</v>
      </c>
      <c r="Z31" s="169"/>
      <c r="AA31" s="306">
        <v>17.989999999999998</v>
      </c>
      <c r="AB31" s="307">
        <v>17.989999999999998</v>
      </c>
    </row>
    <row r="32" spans="1:28" ht="21" hidden="1" customHeight="1" x14ac:dyDescent="0.35">
      <c r="A32" s="353"/>
      <c r="B32" s="362">
        <v>15</v>
      </c>
      <c r="C32" s="355">
        <v>0</v>
      </c>
      <c r="D32" s="356">
        <v>0</v>
      </c>
      <c r="E32" s="356">
        <v>0</v>
      </c>
      <c r="F32" s="356">
        <v>0</v>
      </c>
      <c r="G32" s="356">
        <v>0</v>
      </c>
      <c r="H32" s="356">
        <v>0</v>
      </c>
      <c r="I32" s="356">
        <v>0</v>
      </c>
      <c r="J32" s="357">
        <v>0</v>
      </c>
      <c r="K32" s="357">
        <v>0</v>
      </c>
      <c r="L32" s="357">
        <v>0</v>
      </c>
      <c r="M32" s="358">
        <v>0</v>
      </c>
      <c r="N32" s="358">
        <v>0</v>
      </c>
      <c r="O32" s="357">
        <v>0</v>
      </c>
      <c r="P32" s="358">
        <v>0</v>
      </c>
      <c r="Q32" s="359">
        <v>0</v>
      </c>
      <c r="R32" s="360">
        <v>0</v>
      </c>
      <c r="S32" s="360">
        <v>0</v>
      </c>
      <c r="T32" s="361"/>
      <c r="U32" s="306">
        <v>0</v>
      </c>
      <c r="V32" s="307">
        <v>0</v>
      </c>
      <c r="W32" s="306">
        <v>0</v>
      </c>
      <c r="X32" s="306">
        <v>0</v>
      </c>
      <c r="Y32" s="307">
        <v>0</v>
      </c>
      <c r="Z32" s="169"/>
      <c r="AA32" s="306">
        <v>17.989999999999998</v>
      </c>
      <c r="AB32" s="307">
        <v>17.989999999999998</v>
      </c>
    </row>
    <row r="33" spans="1:28" ht="21" hidden="1" customHeight="1" x14ac:dyDescent="0.35">
      <c r="A33" s="353"/>
      <c r="B33" s="362">
        <v>16</v>
      </c>
      <c r="C33" s="355">
        <v>0</v>
      </c>
      <c r="D33" s="356">
        <v>0</v>
      </c>
      <c r="E33" s="356">
        <v>0</v>
      </c>
      <c r="F33" s="356">
        <v>0</v>
      </c>
      <c r="G33" s="356">
        <v>0</v>
      </c>
      <c r="H33" s="356">
        <v>0</v>
      </c>
      <c r="I33" s="356">
        <v>0</v>
      </c>
      <c r="J33" s="357">
        <v>0</v>
      </c>
      <c r="K33" s="357">
        <v>0</v>
      </c>
      <c r="L33" s="357">
        <v>0</v>
      </c>
      <c r="M33" s="358">
        <v>0</v>
      </c>
      <c r="N33" s="358">
        <v>0</v>
      </c>
      <c r="O33" s="357">
        <v>0</v>
      </c>
      <c r="P33" s="358">
        <v>0</v>
      </c>
      <c r="Q33" s="359">
        <v>0</v>
      </c>
      <c r="R33" s="360">
        <v>0</v>
      </c>
      <c r="S33" s="360">
        <v>0</v>
      </c>
      <c r="T33" s="361"/>
      <c r="U33" s="306">
        <v>0</v>
      </c>
      <c r="V33" s="307">
        <v>0</v>
      </c>
      <c r="W33" s="306">
        <v>0</v>
      </c>
      <c r="X33" s="306">
        <v>0</v>
      </c>
      <c r="Y33" s="307">
        <v>0</v>
      </c>
      <c r="Z33" s="169"/>
      <c r="AA33" s="306">
        <v>17.989999999999998</v>
      </c>
      <c r="AB33" s="307">
        <v>17.989999999999998</v>
      </c>
    </row>
    <row r="34" spans="1:28" ht="21" hidden="1" customHeight="1" x14ac:dyDescent="0.35">
      <c r="A34" s="353"/>
      <c r="B34" s="362">
        <v>17</v>
      </c>
      <c r="C34" s="355">
        <v>0</v>
      </c>
      <c r="D34" s="356">
        <v>0</v>
      </c>
      <c r="E34" s="356">
        <v>0</v>
      </c>
      <c r="F34" s="356">
        <v>0</v>
      </c>
      <c r="G34" s="356">
        <v>0</v>
      </c>
      <c r="H34" s="356">
        <v>0</v>
      </c>
      <c r="I34" s="356">
        <v>0</v>
      </c>
      <c r="J34" s="357">
        <v>0</v>
      </c>
      <c r="K34" s="357">
        <v>0</v>
      </c>
      <c r="L34" s="357">
        <v>0</v>
      </c>
      <c r="M34" s="358">
        <v>0</v>
      </c>
      <c r="N34" s="358">
        <v>0</v>
      </c>
      <c r="O34" s="357">
        <v>0</v>
      </c>
      <c r="P34" s="358">
        <v>0</v>
      </c>
      <c r="Q34" s="359">
        <v>0</v>
      </c>
      <c r="R34" s="360">
        <v>0</v>
      </c>
      <c r="S34" s="360">
        <v>0</v>
      </c>
      <c r="T34" s="361"/>
      <c r="U34" s="306">
        <v>0</v>
      </c>
      <c r="V34" s="307">
        <v>0</v>
      </c>
      <c r="W34" s="306">
        <v>0</v>
      </c>
      <c r="X34" s="306">
        <v>0</v>
      </c>
      <c r="Y34" s="307">
        <v>0</v>
      </c>
      <c r="Z34" s="169"/>
      <c r="AA34" s="306">
        <v>17.989999999999998</v>
      </c>
      <c r="AB34" s="307">
        <v>17.989999999999998</v>
      </c>
    </row>
    <row r="35" spans="1:28" ht="21" hidden="1" customHeight="1" x14ac:dyDescent="0.35">
      <c r="A35" s="353"/>
      <c r="B35" s="362">
        <v>18</v>
      </c>
      <c r="C35" s="355">
        <v>0</v>
      </c>
      <c r="D35" s="356">
        <v>0</v>
      </c>
      <c r="E35" s="356">
        <v>0</v>
      </c>
      <c r="F35" s="356">
        <v>0</v>
      </c>
      <c r="G35" s="356">
        <v>0</v>
      </c>
      <c r="H35" s="356">
        <v>0</v>
      </c>
      <c r="I35" s="356">
        <v>0</v>
      </c>
      <c r="J35" s="357">
        <v>0</v>
      </c>
      <c r="K35" s="357">
        <v>0</v>
      </c>
      <c r="L35" s="357">
        <v>0</v>
      </c>
      <c r="M35" s="358">
        <v>0</v>
      </c>
      <c r="N35" s="358">
        <v>0</v>
      </c>
      <c r="O35" s="357">
        <v>0</v>
      </c>
      <c r="P35" s="358">
        <v>0</v>
      </c>
      <c r="Q35" s="359">
        <v>0</v>
      </c>
      <c r="R35" s="360">
        <v>0</v>
      </c>
      <c r="S35" s="360">
        <v>0</v>
      </c>
      <c r="T35" s="361"/>
      <c r="U35" s="306">
        <v>0</v>
      </c>
      <c r="V35" s="307">
        <v>0</v>
      </c>
      <c r="W35" s="306">
        <v>0</v>
      </c>
      <c r="X35" s="306">
        <v>0</v>
      </c>
      <c r="Y35" s="307">
        <v>0</v>
      </c>
      <c r="Z35" s="169"/>
      <c r="AA35" s="306">
        <v>17.989999999999998</v>
      </c>
      <c r="AB35" s="307">
        <v>17.989999999999998</v>
      </c>
    </row>
    <row r="36" spans="1:28" ht="21" hidden="1" customHeight="1" x14ac:dyDescent="0.35">
      <c r="A36" s="353"/>
      <c r="B36" s="362">
        <v>19</v>
      </c>
      <c r="C36" s="355">
        <v>0</v>
      </c>
      <c r="D36" s="356">
        <v>0</v>
      </c>
      <c r="E36" s="356">
        <v>0</v>
      </c>
      <c r="F36" s="356">
        <v>0</v>
      </c>
      <c r="G36" s="356">
        <v>0</v>
      </c>
      <c r="H36" s="356">
        <v>0</v>
      </c>
      <c r="I36" s="356">
        <v>0</v>
      </c>
      <c r="J36" s="357">
        <v>0</v>
      </c>
      <c r="K36" s="357">
        <v>0</v>
      </c>
      <c r="L36" s="357">
        <v>0</v>
      </c>
      <c r="M36" s="358">
        <v>0</v>
      </c>
      <c r="N36" s="358">
        <v>0</v>
      </c>
      <c r="O36" s="357">
        <v>0</v>
      </c>
      <c r="P36" s="358">
        <v>0</v>
      </c>
      <c r="Q36" s="359">
        <v>0</v>
      </c>
      <c r="R36" s="360">
        <v>0</v>
      </c>
      <c r="S36" s="360">
        <v>0</v>
      </c>
      <c r="T36" s="361"/>
      <c r="U36" s="306">
        <v>0</v>
      </c>
      <c r="V36" s="307">
        <v>0</v>
      </c>
      <c r="W36" s="306">
        <v>0</v>
      </c>
      <c r="X36" s="306">
        <v>0</v>
      </c>
      <c r="Y36" s="307">
        <v>0</v>
      </c>
      <c r="Z36" s="169"/>
      <c r="AA36" s="306">
        <v>17.989999999999998</v>
      </c>
      <c r="AB36" s="307">
        <v>17.989999999999998</v>
      </c>
    </row>
    <row r="37" spans="1:28" ht="21" hidden="1" customHeight="1" x14ac:dyDescent="0.35">
      <c r="A37" s="353"/>
      <c r="B37" s="362">
        <v>20</v>
      </c>
      <c r="C37" s="355">
        <v>0</v>
      </c>
      <c r="D37" s="356">
        <v>0</v>
      </c>
      <c r="E37" s="356">
        <v>0</v>
      </c>
      <c r="F37" s="356">
        <v>0</v>
      </c>
      <c r="G37" s="356">
        <v>0</v>
      </c>
      <c r="H37" s="356">
        <v>0</v>
      </c>
      <c r="I37" s="356">
        <v>0</v>
      </c>
      <c r="J37" s="357">
        <v>0</v>
      </c>
      <c r="K37" s="357">
        <v>0</v>
      </c>
      <c r="L37" s="357">
        <v>0</v>
      </c>
      <c r="M37" s="358">
        <v>0</v>
      </c>
      <c r="N37" s="358">
        <v>0</v>
      </c>
      <c r="O37" s="357">
        <v>0</v>
      </c>
      <c r="P37" s="358">
        <v>0</v>
      </c>
      <c r="Q37" s="359">
        <v>0</v>
      </c>
      <c r="R37" s="360">
        <v>0</v>
      </c>
      <c r="S37" s="360">
        <v>0</v>
      </c>
      <c r="T37" s="361"/>
      <c r="U37" s="306">
        <v>0</v>
      </c>
      <c r="V37" s="307">
        <v>0</v>
      </c>
      <c r="W37" s="306">
        <v>0</v>
      </c>
      <c r="X37" s="306">
        <v>0</v>
      </c>
      <c r="Y37" s="307">
        <v>0</v>
      </c>
      <c r="Z37" s="169"/>
      <c r="AA37" s="306">
        <v>17.989999999999998</v>
      </c>
      <c r="AB37" s="307">
        <v>17.989999999999998</v>
      </c>
    </row>
    <row r="38" spans="1:28" ht="21" hidden="1" customHeight="1" x14ac:dyDescent="0.35">
      <c r="A38" s="353"/>
      <c r="B38" s="362">
        <v>21</v>
      </c>
      <c r="C38" s="355">
        <v>0</v>
      </c>
      <c r="D38" s="356">
        <v>0</v>
      </c>
      <c r="E38" s="356">
        <v>0</v>
      </c>
      <c r="F38" s="356">
        <v>0</v>
      </c>
      <c r="G38" s="356">
        <v>0</v>
      </c>
      <c r="H38" s="356">
        <v>0</v>
      </c>
      <c r="I38" s="356">
        <v>0</v>
      </c>
      <c r="J38" s="357">
        <v>0</v>
      </c>
      <c r="K38" s="357">
        <v>0</v>
      </c>
      <c r="L38" s="357">
        <v>0</v>
      </c>
      <c r="M38" s="358">
        <v>0</v>
      </c>
      <c r="N38" s="358">
        <v>0</v>
      </c>
      <c r="O38" s="357">
        <v>0</v>
      </c>
      <c r="P38" s="358">
        <v>0</v>
      </c>
      <c r="Q38" s="359">
        <v>0</v>
      </c>
      <c r="R38" s="360">
        <v>0</v>
      </c>
      <c r="S38" s="360">
        <v>0</v>
      </c>
      <c r="T38" s="361"/>
      <c r="U38" s="306">
        <v>0</v>
      </c>
      <c r="V38" s="307">
        <v>0</v>
      </c>
      <c r="W38" s="306">
        <v>0</v>
      </c>
      <c r="X38" s="306">
        <v>0</v>
      </c>
      <c r="Y38" s="307">
        <v>0</v>
      </c>
      <c r="Z38" s="169"/>
      <c r="AA38" s="306">
        <v>17.989999999999998</v>
      </c>
      <c r="AB38" s="307">
        <v>17.989999999999998</v>
      </c>
    </row>
    <row r="39" spans="1:28" ht="21" hidden="1" customHeight="1" x14ac:dyDescent="0.35">
      <c r="A39" s="353"/>
      <c r="B39" s="362">
        <v>22</v>
      </c>
      <c r="C39" s="355">
        <v>0</v>
      </c>
      <c r="D39" s="356">
        <v>0</v>
      </c>
      <c r="E39" s="356">
        <v>0</v>
      </c>
      <c r="F39" s="356">
        <v>0</v>
      </c>
      <c r="G39" s="356">
        <v>0</v>
      </c>
      <c r="H39" s="356">
        <v>0</v>
      </c>
      <c r="I39" s="356">
        <v>0</v>
      </c>
      <c r="J39" s="357">
        <v>0</v>
      </c>
      <c r="K39" s="357">
        <v>0</v>
      </c>
      <c r="L39" s="357">
        <v>0</v>
      </c>
      <c r="M39" s="358">
        <v>0</v>
      </c>
      <c r="N39" s="358">
        <v>0</v>
      </c>
      <c r="O39" s="357">
        <v>0</v>
      </c>
      <c r="P39" s="358">
        <v>0</v>
      </c>
      <c r="Q39" s="359">
        <v>0</v>
      </c>
      <c r="R39" s="360">
        <v>0</v>
      </c>
      <c r="S39" s="360">
        <v>0</v>
      </c>
      <c r="T39" s="361"/>
      <c r="U39" s="306">
        <v>0</v>
      </c>
      <c r="V39" s="307">
        <v>0</v>
      </c>
      <c r="W39" s="306">
        <v>0</v>
      </c>
      <c r="X39" s="306">
        <v>0</v>
      </c>
      <c r="Y39" s="307">
        <v>0</v>
      </c>
      <c r="Z39" s="169"/>
      <c r="AA39" s="306">
        <v>17.989999999999998</v>
      </c>
      <c r="AB39" s="307">
        <v>17.989999999999998</v>
      </c>
    </row>
    <row r="40" spans="1:28" ht="21" hidden="1" customHeight="1" x14ac:dyDescent="0.35">
      <c r="A40" s="353"/>
      <c r="B40" s="362">
        <v>23</v>
      </c>
      <c r="C40" s="355">
        <v>0</v>
      </c>
      <c r="D40" s="356">
        <v>0</v>
      </c>
      <c r="E40" s="356">
        <v>0</v>
      </c>
      <c r="F40" s="356">
        <v>0</v>
      </c>
      <c r="G40" s="356">
        <v>0</v>
      </c>
      <c r="H40" s="356">
        <v>0</v>
      </c>
      <c r="I40" s="356">
        <v>0</v>
      </c>
      <c r="J40" s="357">
        <v>0</v>
      </c>
      <c r="K40" s="357">
        <v>0</v>
      </c>
      <c r="L40" s="357">
        <v>0</v>
      </c>
      <c r="M40" s="358">
        <v>0</v>
      </c>
      <c r="N40" s="358">
        <v>0</v>
      </c>
      <c r="O40" s="357">
        <v>0</v>
      </c>
      <c r="P40" s="358">
        <v>0</v>
      </c>
      <c r="Q40" s="359">
        <v>0</v>
      </c>
      <c r="R40" s="360">
        <v>0</v>
      </c>
      <c r="S40" s="360">
        <v>0</v>
      </c>
      <c r="T40" s="361"/>
      <c r="U40" s="306">
        <v>0</v>
      </c>
      <c r="V40" s="307">
        <v>0</v>
      </c>
      <c r="W40" s="306">
        <v>0</v>
      </c>
      <c r="X40" s="306">
        <v>0</v>
      </c>
      <c r="Y40" s="307">
        <v>0</v>
      </c>
      <c r="Z40" s="169"/>
      <c r="AA40" s="306">
        <v>17.989999999999998</v>
      </c>
      <c r="AB40" s="307">
        <v>17.989999999999998</v>
      </c>
    </row>
    <row r="41" spans="1:28" ht="21" hidden="1" customHeight="1" x14ac:dyDescent="0.35">
      <c r="A41" s="353"/>
      <c r="B41" s="362">
        <v>24</v>
      </c>
      <c r="C41" s="355">
        <v>0</v>
      </c>
      <c r="D41" s="356">
        <v>0</v>
      </c>
      <c r="E41" s="356">
        <v>0</v>
      </c>
      <c r="F41" s="356">
        <v>0</v>
      </c>
      <c r="G41" s="356">
        <v>0</v>
      </c>
      <c r="H41" s="356">
        <v>0</v>
      </c>
      <c r="I41" s="356">
        <v>0</v>
      </c>
      <c r="J41" s="357">
        <v>0</v>
      </c>
      <c r="K41" s="357">
        <v>0</v>
      </c>
      <c r="L41" s="357">
        <v>0</v>
      </c>
      <c r="M41" s="358">
        <v>0</v>
      </c>
      <c r="N41" s="358">
        <v>0</v>
      </c>
      <c r="O41" s="357">
        <v>0</v>
      </c>
      <c r="P41" s="358">
        <v>0</v>
      </c>
      <c r="Q41" s="359">
        <v>0</v>
      </c>
      <c r="R41" s="360">
        <v>0</v>
      </c>
      <c r="S41" s="360">
        <v>0</v>
      </c>
      <c r="T41" s="361"/>
      <c r="U41" s="306">
        <v>0</v>
      </c>
      <c r="V41" s="307">
        <v>0</v>
      </c>
      <c r="W41" s="306">
        <v>0</v>
      </c>
      <c r="X41" s="306">
        <v>0</v>
      </c>
      <c r="Y41" s="307">
        <v>0</v>
      </c>
      <c r="Z41" s="169"/>
      <c r="AA41" s="306">
        <v>17.989999999999998</v>
      </c>
      <c r="AB41" s="307">
        <v>17.989999999999998</v>
      </c>
    </row>
    <row r="42" spans="1:28" ht="21" hidden="1" customHeight="1" x14ac:dyDescent="0.35">
      <c r="A42" s="353"/>
      <c r="B42" s="362">
        <v>25</v>
      </c>
      <c r="C42" s="355">
        <v>0</v>
      </c>
      <c r="D42" s="356">
        <v>0</v>
      </c>
      <c r="E42" s="356">
        <v>0</v>
      </c>
      <c r="F42" s="356">
        <v>0</v>
      </c>
      <c r="G42" s="356">
        <v>0</v>
      </c>
      <c r="H42" s="356">
        <v>0</v>
      </c>
      <c r="I42" s="356">
        <v>0</v>
      </c>
      <c r="J42" s="357">
        <v>0</v>
      </c>
      <c r="K42" s="357">
        <v>0</v>
      </c>
      <c r="L42" s="357">
        <v>0</v>
      </c>
      <c r="M42" s="358">
        <v>0</v>
      </c>
      <c r="N42" s="358">
        <v>0</v>
      </c>
      <c r="O42" s="357">
        <v>0</v>
      </c>
      <c r="P42" s="358">
        <v>0</v>
      </c>
      <c r="Q42" s="359">
        <v>0</v>
      </c>
      <c r="R42" s="360">
        <v>0</v>
      </c>
      <c r="S42" s="360">
        <v>0</v>
      </c>
      <c r="T42" s="361"/>
      <c r="U42" s="306">
        <v>0</v>
      </c>
      <c r="V42" s="307">
        <v>0</v>
      </c>
      <c r="W42" s="306">
        <v>0</v>
      </c>
      <c r="X42" s="306">
        <v>0</v>
      </c>
      <c r="Y42" s="307">
        <v>0</v>
      </c>
      <c r="Z42" s="169"/>
      <c r="AA42" s="306">
        <v>17.989999999999998</v>
      </c>
      <c r="AB42" s="307">
        <v>17.989999999999998</v>
      </c>
    </row>
    <row r="43" spans="1:28" ht="21" hidden="1" customHeight="1" x14ac:dyDescent="0.35">
      <c r="A43" s="353"/>
      <c r="B43" s="362">
        <v>26</v>
      </c>
      <c r="C43" s="355">
        <v>0</v>
      </c>
      <c r="D43" s="356">
        <v>0</v>
      </c>
      <c r="E43" s="356">
        <v>0</v>
      </c>
      <c r="F43" s="356">
        <v>0</v>
      </c>
      <c r="G43" s="356">
        <v>0</v>
      </c>
      <c r="H43" s="356">
        <v>0</v>
      </c>
      <c r="I43" s="356">
        <v>0</v>
      </c>
      <c r="J43" s="357">
        <v>0</v>
      </c>
      <c r="K43" s="357">
        <v>0</v>
      </c>
      <c r="L43" s="357">
        <v>0</v>
      </c>
      <c r="M43" s="358">
        <v>0</v>
      </c>
      <c r="N43" s="358">
        <v>0</v>
      </c>
      <c r="O43" s="357">
        <v>0</v>
      </c>
      <c r="P43" s="358">
        <v>0</v>
      </c>
      <c r="Q43" s="359">
        <v>0</v>
      </c>
      <c r="R43" s="360">
        <v>0</v>
      </c>
      <c r="S43" s="360">
        <v>0</v>
      </c>
      <c r="T43" s="361"/>
      <c r="U43" s="306">
        <v>0</v>
      </c>
      <c r="V43" s="307">
        <v>0</v>
      </c>
      <c r="W43" s="306">
        <v>0</v>
      </c>
      <c r="X43" s="306">
        <v>0</v>
      </c>
      <c r="Y43" s="307">
        <v>0</v>
      </c>
      <c r="Z43" s="169"/>
      <c r="AA43" s="306">
        <v>17.989999999999998</v>
      </c>
      <c r="AB43" s="307">
        <v>17.989999999999998</v>
      </c>
    </row>
    <row r="44" spans="1:28" ht="21" hidden="1" customHeight="1" x14ac:dyDescent="0.35">
      <c r="A44" s="353"/>
      <c r="B44" s="362">
        <v>27</v>
      </c>
      <c r="C44" s="355">
        <v>0</v>
      </c>
      <c r="D44" s="356">
        <v>0</v>
      </c>
      <c r="E44" s="356">
        <v>0</v>
      </c>
      <c r="F44" s="356">
        <v>0</v>
      </c>
      <c r="G44" s="356">
        <v>0</v>
      </c>
      <c r="H44" s="356">
        <v>0</v>
      </c>
      <c r="I44" s="356">
        <v>0</v>
      </c>
      <c r="J44" s="357">
        <v>0</v>
      </c>
      <c r="K44" s="357">
        <v>0</v>
      </c>
      <c r="L44" s="357">
        <v>0</v>
      </c>
      <c r="M44" s="358">
        <v>0</v>
      </c>
      <c r="N44" s="358">
        <v>0</v>
      </c>
      <c r="O44" s="357">
        <v>0</v>
      </c>
      <c r="P44" s="358">
        <v>0</v>
      </c>
      <c r="Q44" s="359">
        <v>0</v>
      </c>
      <c r="R44" s="360">
        <v>0</v>
      </c>
      <c r="S44" s="360">
        <v>0</v>
      </c>
      <c r="T44" s="361"/>
      <c r="U44" s="306">
        <v>0</v>
      </c>
      <c r="V44" s="307">
        <v>0</v>
      </c>
      <c r="W44" s="306">
        <v>0</v>
      </c>
      <c r="X44" s="306">
        <v>0</v>
      </c>
      <c r="Y44" s="307">
        <v>0</v>
      </c>
      <c r="Z44" s="169"/>
      <c r="AA44" s="306">
        <v>17.989999999999998</v>
      </c>
      <c r="AB44" s="307">
        <v>17.989999999999998</v>
      </c>
    </row>
    <row r="45" spans="1:28" ht="21" hidden="1" customHeight="1" x14ac:dyDescent="0.35">
      <c r="A45" s="353"/>
      <c r="B45" s="362">
        <v>28</v>
      </c>
      <c r="C45" s="355">
        <v>0</v>
      </c>
      <c r="D45" s="356">
        <v>0</v>
      </c>
      <c r="E45" s="356">
        <v>0</v>
      </c>
      <c r="F45" s="356">
        <v>0</v>
      </c>
      <c r="G45" s="356">
        <v>0</v>
      </c>
      <c r="H45" s="356">
        <v>0</v>
      </c>
      <c r="I45" s="356">
        <v>0</v>
      </c>
      <c r="J45" s="357">
        <v>0</v>
      </c>
      <c r="K45" s="357">
        <v>0</v>
      </c>
      <c r="L45" s="357">
        <v>0</v>
      </c>
      <c r="M45" s="358">
        <v>0</v>
      </c>
      <c r="N45" s="358">
        <v>0</v>
      </c>
      <c r="O45" s="357">
        <v>0</v>
      </c>
      <c r="P45" s="358">
        <v>0</v>
      </c>
      <c r="Q45" s="359">
        <v>0</v>
      </c>
      <c r="R45" s="360">
        <v>0</v>
      </c>
      <c r="S45" s="360">
        <v>0</v>
      </c>
      <c r="T45" s="361"/>
      <c r="U45" s="306">
        <v>0</v>
      </c>
      <c r="V45" s="307">
        <v>0</v>
      </c>
      <c r="W45" s="306">
        <v>0</v>
      </c>
      <c r="X45" s="306">
        <v>0</v>
      </c>
      <c r="Y45" s="307">
        <v>0</v>
      </c>
      <c r="Z45" s="169"/>
      <c r="AA45" s="306">
        <v>17.989999999999998</v>
      </c>
      <c r="AB45" s="307">
        <v>17.989999999999998</v>
      </c>
    </row>
    <row r="46" spans="1:28" ht="21" hidden="1" customHeight="1" x14ac:dyDescent="0.35">
      <c r="A46" s="353"/>
      <c r="B46" s="362">
        <v>29</v>
      </c>
      <c r="C46" s="355">
        <v>0</v>
      </c>
      <c r="D46" s="356">
        <v>0</v>
      </c>
      <c r="E46" s="356">
        <v>0</v>
      </c>
      <c r="F46" s="356">
        <v>0</v>
      </c>
      <c r="G46" s="356">
        <v>0</v>
      </c>
      <c r="H46" s="356">
        <v>0</v>
      </c>
      <c r="I46" s="356">
        <v>0</v>
      </c>
      <c r="J46" s="357">
        <v>0</v>
      </c>
      <c r="K46" s="357">
        <v>0</v>
      </c>
      <c r="L46" s="357">
        <v>0</v>
      </c>
      <c r="M46" s="358">
        <v>0</v>
      </c>
      <c r="N46" s="358">
        <v>0</v>
      </c>
      <c r="O46" s="357">
        <v>0</v>
      </c>
      <c r="P46" s="358">
        <v>0</v>
      </c>
      <c r="Q46" s="359">
        <v>0</v>
      </c>
      <c r="R46" s="360">
        <v>0</v>
      </c>
      <c r="S46" s="360">
        <v>0</v>
      </c>
      <c r="T46" s="361"/>
      <c r="U46" s="306">
        <v>0</v>
      </c>
      <c r="V46" s="307">
        <v>0</v>
      </c>
      <c r="W46" s="306">
        <v>0</v>
      </c>
      <c r="X46" s="306">
        <v>0</v>
      </c>
      <c r="Y46" s="307">
        <v>0</v>
      </c>
      <c r="Z46" s="169"/>
      <c r="AA46" s="306">
        <v>17.989999999999998</v>
      </c>
      <c r="AB46" s="307">
        <v>17.989999999999998</v>
      </c>
    </row>
    <row r="47" spans="1:28" ht="21" hidden="1" customHeight="1" x14ac:dyDescent="0.35">
      <c r="A47" s="353"/>
      <c r="B47" s="362">
        <v>30</v>
      </c>
      <c r="C47" s="355">
        <v>0</v>
      </c>
      <c r="D47" s="356">
        <v>0</v>
      </c>
      <c r="E47" s="356">
        <v>0</v>
      </c>
      <c r="F47" s="356">
        <v>0</v>
      </c>
      <c r="G47" s="356">
        <v>0</v>
      </c>
      <c r="H47" s="356">
        <v>0</v>
      </c>
      <c r="I47" s="356">
        <v>0</v>
      </c>
      <c r="J47" s="357">
        <v>0</v>
      </c>
      <c r="K47" s="357">
        <v>0</v>
      </c>
      <c r="L47" s="357">
        <v>0</v>
      </c>
      <c r="M47" s="358">
        <v>0</v>
      </c>
      <c r="N47" s="358">
        <v>0</v>
      </c>
      <c r="O47" s="357">
        <v>0</v>
      </c>
      <c r="P47" s="358">
        <v>0</v>
      </c>
      <c r="Q47" s="359">
        <v>0</v>
      </c>
      <c r="R47" s="360">
        <v>0</v>
      </c>
      <c r="S47" s="360">
        <v>0</v>
      </c>
      <c r="T47" s="361"/>
      <c r="U47" s="306">
        <v>0</v>
      </c>
      <c r="V47" s="307">
        <v>0</v>
      </c>
      <c r="W47" s="306">
        <v>0</v>
      </c>
      <c r="X47" s="306">
        <v>0</v>
      </c>
      <c r="Y47" s="307">
        <v>0</v>
      </c>
      <c r="Z47" s="169"/>
      <c r="AA47" s="306">
        <v>17.989999999999998</v>
      </c>
      <c r="AB47" s="307">
        <v>17.989999999999998</v>
      </c>
    </row>
    <row r="48" spans="1:28" ht="21" hidden="1" customHeight="1" x14ac:dyDescent="0.35">
      <c r="A48" s="353"/>
      <c r="B48" s="362">
        <v>31</v>
      </c>
      <c r="C48" s="355">
        <v>0</v>
      </c>
      <c r="D48" s="356">
        <v>0</v>
      </c>
      <c r="E48" s="356">
        <v>0</v>
      </c>
      <c r="F48" s="356">
        <v>0</v>
      </c>
      <c r="G48" s="356">
        <v>0</v>
      </c>
      <c r="H48" s="356">
        <v>0</v>
      </c>
      <c r="I48" s="356">
        <v>0</v>
      </c>
      <c r="J48" s="357">
        <v>0</v>
      </c>
      <c r="K48" s="357">
        <v>0</v>
      </c>
      <c r="L48" s="357">
        <v>0</v>
      </c>
      <c r="M48" s="358">
        <v>0</v>
      </c>
      <c r="N48" s="358">
        <v>0</v>
      </c>
      <c r="O48" s="357">
        <v>0</v>
      </c>
      <c r="P48" s="358">
        <v>0</v>
      </c>
      <c r="Q48" s="359">
        <v>0</v>
      </c>
      <c r="R48" s="360">
        <v>0</v>
      </c>
      <c r="S48" s="360">
        <v>0</v>
      </c>
      <c r="T48" s="361"/>
      <c r="U48" s="306">
        <v>0</v>
      </c>
      <c r="V48" s="307">
        <v>0</v>
      </c>
      <c r="W48" s="306">
        <v>0</v>
      </c>
      <c r="X48" s="306">
        <v>0</v>
      </c>
      <c r="Y48" s="307">
        <v>0</v>
      </c>
      <c r="Z48" s="169"/>
      <c r="AA48" s="306">
        <v>17.989999999999998</v>
      </c>
      <c r="AB48" s="307">
        <v>17.989999999999998</v>
      </c>
    </row>
    <row r="49" spans="1:28" ht="21" hidden="1" customHeight="1" x14ac:dyDescent="0.35">
      <c r="A49" s="353"/>
      <c r="B49" s="362">
        <v>32</v>
      </c>
      <c r="C49" s="355">
        <v>0</v>
      </c>
      <c r="D49" s="356">
        <v>0</v>
      </c>
      <c r="E49" s="356">
        <v>0</v>
      </c>
      <c r="F49" s="356">
        <v>0</v>
      </c>
      <c r="G49" s="356">
        <v>0</v>
      </c>
      <c r="H49" s="356">
        <v>0</v>
      </c>
      <c r="I49" s="356">
        <v>0</v>
      </c>
      <c r="J49" s="357">
        <v>0</v>
      </c>
      <c r="K49" s="357">
        <v>0</v>
      </c>
      <c r="L49" s="357">
        <v>0</v>
      </c>
      <c r="M49" s="358">
        <v>0</v>
      </c>
      <c r="N49" s="358">
        <v>0</v>
      </c>
      <c r="O49" s="357">
        <v>0</v>
      </c>
      <c r="P49" s="358">
        <v>0</v>
      </c>
      <c r="Q49" s="359">
        <v>0</v>
      </c>
      <c r="R49" s="360">
        <v>0</v>
      </c>
      <c r="S49" s="360">
        <v>0</v>
      </c>
      <c r="T49" s="361"/>
      <c r="U49" s="306">
        <v>0</v>
      </c>
      <c r="V49" s="307">
        <v>0</v>
      </c>
      <c r="W49" s="306">
        <v>0</v>
      </c>
      <c r="X49" s="306">
        <v>0</v>
      </c>
      <c r="Y49" s="307">
        <v>0</v>
      </c>
      <c r="Z49" s="169"/>
      <c r="AA49" s="306">
        <v>17.989999999999998</v>
      </c>
      <c r="AB49" s="307">
        <v>17.989999999999998</v>
      </c>
    </row>
    <row r="50" spans="1:28" ht="21" hidden="1" customHeight="1" x14ac:dyDescent="0.35">
      <c r="A50" s="353"/>
      <c r="B50" s="362">
        <v>33</v>
      </c>
      <c r="C50" s="355">
        <v>0</v>
      </c>
      <c r="D50" s="356">
        <v>0</v>
      </c>
      <c r="E50" s="356">
        <v>0</v>
      </c>
      <c r="F50" s="356">
        <v>0</v>
      </c>
      <c r="G50" s="356">
        <v>0</v>
      </c>
      <c r="H50" s="356">
        <v>0</v>
      </c>
      <c r="I50" s="356">
        <v>0</v>
      </c>
      <c r="J50" s="357">
        <v>0</v>
      </c>
      <c r="K50" s="357">
        <v>0</v>
      </c>
      <c r="L50" s="357">
        <v>0</v>
      </c>
      <c r="M50" s="358">
        <v>0</v>
      </c>
      <c r="N50" s="358">
        <v>0</v>
      </c>
      <c r="O50" s="357">
        <v>0</v>
      </c>
      <c r="P50" s="358">
        <v>0</v>
      </c>
      <c r="Q50" s="359">
        <v>0</v>
      </c>
      <c r="R50" s="360">
        <v>0</v>
      </c>
      <c r="S50" s="360">
        <v>0</v>
      </c>
      <c r="T50" s="361"/>
      <c r="U50" s="306">
        <v>0</v>
      </c>
      <c r="V50" s="307">
        <v>0</v>
      </c>
      <c r="W50" s="306">
        <v>0</v>
      </c>
      <c r="X50" s="306">
        <v>0</v>
      </c>
      <c r="Y50" s="307">
        <v>0</v>
      </c>
      <c r="Z50" s="169"/>
      <c r="AA50" s="306">
        <v>17.989999999999998</v>
      </c>
      <c r="AB50" s="307">
        <v>17.989999999999998</v>
      </c>
    </row>
    <row r="51" spans="1:28" ht="21" hidden="1" customHeight="1" x14ac:dyDescent="0.35">
      <c r="A51" s="353"/>
      <c r="B51" s="362">
        <v>34</v>
      </c>
      <c r="C51" s="355">
        <v>0</v>
      </c>
      <c r="D51" s="356">
        <v>0</v>
      </c>
      <c r="E51" s="356">
        <v>0</v>
      </c>
      <c r="F51" s="356">
        <v>0</v>
      </c>
      <c r="G51" s="356">
        <v>0</v>
      </c>
      <c r="H51" s="356">
        <v>0</v>
      </c>
      <c r="I51" s="356">
        <v>0</v>
      </c>
      <c r="J51" s="357">
        <v>0</v>
      </c>
      <c r="K51" s="357">
        <v>0</v>
      </c>
      <c r="L51" s="357">
        <v>0</v>
      </c>
      <c r="M51" s="358">
        <v>0</v>
      </c>
      <c r="N51" s="358">
        <v>0</v>
      </c>
      <c r="O51" s="357">
        <v>0</v>
      </c>
      <c r="P51" s="358">
        <v>0</v>
      </c>
      <c r="Q51" s="359">
        <v>0</v>
      </c>
      <c r="R51" s="360">
        <v>0</v>
      </c>
      <c r="S51" s="360">
        <v>0</v>
      </c>
      <c r="T51" s="361"/>
      <c r="U51" s="306">
        <v>0</v>
      </c>
      <c r="V51" s="307">
        <v>0</v>
      </c>
      <c r="W51" s="306">
        <v>0</v>
      </c>
      <c r="X51" s="306">
        <v>0</v>
      </c>
      <c r="Y51" s="307">
        <v>0</v>
      </c>
      <c r="Z51" s="169"/>
      <c r="AA51" s="306">
        <v>17.989999999999998</v>
      </c>
      <c r="AB51" s="307">
        <v>17.989999999999998</v>
      </c>
    </row>
    <row r="52" spans="1:28" ht="21" hidden="1" customHeight="1" x14ac:dyDescent="0.35">
      <c r="A52" s="353"/>
      <c r="B52" s="362">
        <v>35</v>
      </c>
      <c r="C52" s="355">
        <v>0</v>
      </c>
      <c r="D52" s="356">
        <v>0</v>
      </c>
      <c r="E52" s="356">
        <v>0</v>
      </c>
      <c r="F52" s="356">
        <v>0</v>
      </c>
      <c r="G52" s="356">
        <v>0</v>
      </c>
      <c r="H52" s="356">
        <v>0</v>
      </c>
      <c r="I52" s="356">
        <v>0</v>
      </c>
      <c r="J52" s="357">
        <v>0</v>
      </c>
      <c r="K52" s="357">
        <v>0</v>
      </c>
      <c r="L52" s="357">
        <v>0</v>
      </c>
      <c r="M52" s="358">
        <v>0</v>
      </c>
      <c r="N52" s="358">
        <v>0</v>
      </c>
      <c r="O52" s="357">
        <v>0</v>
      </c>
      <c r="P52" s="358">
        <v>0</v>
      </c>
      <c r="Q52" s="359">
        <v>0</v>
      </c>
      <c r="R52" s="360">
        <v>0</v>
      </c>
      <c r="S52" s="360">
        <v>0</v>
      </c>
      <c r="T52" s="361"/>
      <c r="U52" s="306">
        <v>0</v>
      </c>
      <c r="V52" s="307">
        <v>0</v>
      </c>
      <c r="W52" s="306">
        <v>0</v>
      </c>
      <c r="X52" s="306">
        <v>0</v>
      </c>
      <c r="Y52" s="307">
        <v>0</v>
      </c>
      <c r="Z52" s="169"/>
      <c r="AA52" s="306">
        <v>17.989999999999998</v>
      </c>
      <c r="AB52" s="307">
        <v>17.989999999999998</v>
      </c>
    </row>
    <row r="53" spans="1:28" ht="21" hidden="1" customHeight="1" x14ac:dyDescent="0.35">
      <c r="A53" s="353"/>
      <c r="B53" s="362">
        <v>36</v>
      </c>
      <c r="C53" s="355">
        <v>0</v>
      </c>
      <c r="D53" s="356">
        <v>0</v>
      </c>
      <c r="E53" s="356">
        <v>0</v>
      </c>
      <c r="F53" s="356">
        <v>0</v>
      </c>
      <c r="G53" s="356">
        <v>0</v>
      </c>
      <c r="H53" s="356">
        <v>0</v>
      </c>
      <c r="I53" s="356">
        <v>0</v>
      </c>
      <c r="J53" s="357">
        <v>0</v>
      </c>
      <c r="K53" s="357">
        <v>0</v>
      </c>
      <c r="L53" s="357">
        <v>0</v>
      </c>
      <c r="M53" s="358">
        <v>0</v>
      </c>
      <c r="N53" s="358">
        <v>0</v>
      </c>
      <c r="O53" s="357">
        <v>0</v>
      </c>
      <c r="P53" s="358">
        <v>0</v>
      </c>
      <c r="Q53" s="359">
        <v>0</v>
      </c>
      <c r="R53" s="360">
        <v>0</v>
      </c>
      <c r="S53" s="360">
        <v>0</v>
      </c>
      <c r="T53" s="361"/>
      <c r="U53" s="306">
        <v>0</v>
      </c>
      <c r="V53" s="307">
        <v>0</v>
      </c>
      <c r="W53" s="306">
        <v>0</v>
      </c>
      <c r="X53" s="306">
        <v>0</v>
      </c>
      <c r="Y53" s="307">
        <v>0</v>
      </c>
      <c r="Z53" s="169"/>
      <c r="AA53" s="306">
        <v>17.989999999999998</v>
      </c>
      <c r="AB53" s="307">
        <v>17.989999999999998</v>
      </c>
    </row>
    <row r="54" spans="1:28" ht="21" hidden="1" customHeight="1" x14ac:dyDescent="0.35">
      <c r="A54" s="353"/>
      <c r="B54" s="362">
        <v>37</v>
      </c>
      <c r="C54" s="355">
        <v>0</v>
      </c>
      <c r="D54" s="356">
        <v>0</v>
      </c>
      <c r="E54" s="356">
        <v>0</v>
      </c>
      <c r="F54" s="356">
        <v>0</v>
      </c>
      <c r="G54" s="356">
        <v>0</v>
      </c>
      <c r="H54" s="356">
        <v>0</v>
      </c>
      <c r="I54" s="356">
        <v>0</v>
      </c>
      <c r="J54" s="357">
        <v>0</v>
      </c>
      <c r="K54" s="357">
        <v>0</v>
      </c>
      <c r="L54" s="357">
        <v>0</v>
      </c>
      <c r="M54" s="358">
        <v>0</v>
      </c>
      <c r="N54" s="358">
        <v>0</v>
      </c>
      <c r="O54" s="357">
        <v>0</v>
      </c>
      <c r="P54" s="358">
        <v>0</v>
      </c>
      <c r="Q54" s="359">
        <v>0</v>
      </c>
      <c r="R54" s="360">
        <v>0</v>
      </c>
      <c r="S54" s="360">
        <v>0</v>
      </c>
      <c r="T54" s="361"/>
      <c r="U54" s="306">
        <v>0</v>
      </c>
      <c r="V54" s="307">
        <v>0</v>
      </c>
      <c r="W54" s="306">
        <v>0</v>
      </c>
      <c r="X54" s="306">
        <v>0</v>
      </c>
      <c r="Y54" s="307">
        <v>0</v>
      </c>
      <c r="Z54" s="169"/>
      <c r="AA54" s="306">
        <v>17.989999999999998</v>
      </c>
      <c r="AB54" s="307">
        <v>17.989999999999998</v>
      </c>
    </row>
    <row r="55" spans="1:28" ht="21" hidden="1" customHeight="1" x14ac:dyDescent="0.35">
      <c r="A55" s="353"/>
      <c r="B55" s="362">
        <v>38</v>
      </c>
      <c r="C55" s="355">
        <v>0</v>
      </c>
      <c r="D55" s="356">
        <v>0</v>
      </c>
      <c r="E55" s="356">
        <v>0</v>
      </c>
      <c r="F55" s="356">
        <v>0</v>
      </c>
      <c r="G55" s="356">
        <v>0</v>
      </c>
      <c r="H55" s="356">
        <v>0</v>
      </c>
      <c r="I55" s="356">
        <v>0</v>
      </c>
      <c r="J55" s="357">
        <v>0</v>
      </c>
      <c r="K55" s="357">
        <v>0</v>
      </c>
      <c r="L55" s="357">
        <v>0</v>
      </c>
      <c r="M55" s="358">
        <v>0</v>
      </c>
      <c r="N55" s="358">
        <v>0</v>
      </c>
      <c r="O55" s="357">
        <v>0</v>
      </c>
      <c r="P55" s="358">
        <v>0</v>
      </c>
      <c r="Q55" s="359">
        <v>0</v>
      </c>
      <c r="R55" s="360">
        <v>0</v>
      </c>
      <c r="S55" s="360">
        <v>0</v>
      </c>
      <c r="T55" s="361"/>
      <c r="U55" s="306">
        <v>0</v>
      </c>
      <c r="V55" s="307">
        <v>0</v>
      </c>
      <c r="W55" s="306">
        <v>0</v>
      </c>
      <c r="X55" s="306">
        <v>0</v>
      </c>
      <c r="Y55" s="307">
        <v>0</v>
      </c>
      <c r="Z55" s="169"/>
      <c r="AA55" s="306">
        <v>17.989999999999998</v>
      </c>
      <c r="AB55" s="307">
        <v>17.989999999999998</v>
      </c>
    </row>
    <row r="56" spans="1:28" ht="21" hidden="1" customHeight="1" x14ac:dyDescent="0.35">
      <c r="A56" s="353"/>
      <c r="B56" s="362">
        <v>39</v>
      </c>
      <c r="C56" s="355">
        <v>0</v>
      </c>
      <c r="D56" s="356">
        <v>0</v>
      </c>
      <c r="E56" s="356">
        <v>0</v>
      </c>
      <c r="F56" s="356">
        <v>0</v>
      </c>
      <c r="G56" s="356">
        <v>0</v>
      </c>
      <c r="H56" s="356">
        <v>0</v>
      </c>
      <c r="I56" s="356">
        <v>0</v>
      </c>
      <c r="J56" s="357">
        <v>0</v>
      </c>
      <c r="K56" s="357">
        <v>0</v>
      </c>
      <c r="L56" s="357">
        <v>0</v>
      </c>
      <c r="M56" s="358">
        <v>0</v>
      </c>
      <c r="N56" s="358">
        <v>0</v>
      </c>
      <c r="O56" s="357">
        <v>0</v>
      </c>
      <c r="P56" s="358">
        <v>0</v>
      </c>
      <c r="Q56" s="359">
        <v>0</v>
      </c>
      <c r="R56" s="360">
        <v>0</v>
      </c>
      <c r="S56" s="360">
        <v>0</v>
      </c>
      <c r="T56" s="361"/>
      <c r="U56" s="306">
        <v>0</v>
      </c>
      <c r="V56" s="307">
        <v>0</v>
      </c>
      <c r="W56" s="306">
        <v>0</v>
      </c>
      <c r="X56" s="306">
        <v>0</v>
      </c>
      <c r="Y56" s="307">
        <v>0</v>
      </c>
      <c r="Z56" s="169"/>
      <c r="AA56" s="306">
        <v>17.989999999999998</v>
      </c>
      <c r="AB56" s="307">
        <v>17.989999999999998</v>
      </c>
    </row>
    <row r="57" spans="1:28" ht="21" hidden="1" customHeight="1" x14ac:dyDescent="0.35">
      <c r="A57" s="353"/>
      <c r="B57" s="362">
        <v>40</v>
      </c>
      <c r="C57" s="355">
        <v>0</v>
      </c>
      <c r="D57" s="356">
        <v>0</v>
      </c>
      <c r="E57" s="356">
        <v>0</v>
      </c>
      <c r="F57" s="356">
        <v>0</v>
      </c>
      <c r="G57" s="356">
        <v>0</v>
      </c>
      <c r="H57" s="356">
        <v>0</v>
      </c>
      <c r="I57" s="356">
        <v>0</v>
      </c>
      <c r="J57" s="357">
        <v>0</v>
      </c>
      <c r="K57" s="357">
        <v>0</v>
      </c>
      <c r="L57" s="357">
        <v>0</v>
      </c>
      <c r="M57" s="358">
        <v>0</v>
      </c>
      <c r="N57" s="358">
        <v>0</v>
      </c>
      <c r="O57" s="357">
        <v>0</v>
      </c>
      <c r="P57" s="358">
        <v>0</v>
      </c>
      <c r="Q57" s="359">
        <v>0</v>
      </c>
      <c r="R57" s="360">
        <v>0</v>
      </c>
      <c r="S57" s="360">
        <v>0</v>
      </c>
      <c r="T57" s="361"/>
      <c r="U57" s="306">
        <v>0</v>
      </c>
      <c r="V57" s="307">
        <v>0</v>
      </c>
      <c r="W57" s="306">
        <v>0</v>
      </c>
      <c r="X57" s="306">
        <v>0</v>
      </c>
      <c r="Y57" s="307">
        <v>0</v>
      </c>
      <c r="Z57" s="169"/>
      <c r="AA57" s="306">
        <v>17.989999999999998</v>
      </c>
      <c r="AB57" s="307">
        <v>17.989999999999998</v>
      </c>
    </row>
    <row r="58" spans="1:28" ht="21" hidden="1" customHeight="1" x14ac:dyDescent="0.35">
      <c r="A58" s="353"/>
      <c r="B58" s="362">
        <v>41</v>
      </c>
      <c r="C58" s="355">
        <v>0</v>
      </c>
      <c r="D58" s="356">
        <v>0</v>
      </c>
      <c r="E58" s="356">
        <v>0</v>
      </c>
      <c r="F58" s="356">
        <v>0</v>
      </c>
      <c r="G58" s="356">
        <v>0</v>
      </c>
      <c r="H58" s="356">
        <v>0</v>
      </c>
      <c r="I58" s="356">
        <v>0</v>
      </c>
      <c r="J58" s="357">
        <v>0</v>
      </c>
      <c r="K58" s="357">
        <v>0</v>
      </c>
      <c r="L58" s="357">
        <v>0</v>
      </c>
      <c r="M58" s="358">
        <v>0</v>
      </c>
      <c r="N58" s="358">
        <v>0</v>
      </c>
      <c r="O58" s="357">
        <v>0</v>
      </c>
      <c r="P58" s="358">
        <v>0</v>
      </c>
      <c r="Q58" s="359">
        <v>0</v>
      </c>
      <c r="R58" s="360">
        <v>0</v>
      </c>
      <c r="S58" s="360">
        <v>0</v>
      </c>
      <c r="T58" s="361"/>
      <c r="U58" s="306">
        <v>0</v>
      </c>
      <c r="V58" s="307">
        <v>0</v>
      </c>
      <c r="W58" s="306">
        <v>0</v>
      </c>
      <c r="X58" s="306">
        <v>0</v>
      </c>
      <c r="Y58" s="307">
        <v>0</v>
      </c>
      <c r="Z58" s="169"/>
      <c r="AA58" s="306">
        <v>17.989999999999998</v>
      </c>
      <c r="AB58" s="307">
        <v>17.989999999999998</v>
      </c>
    </row>
    <row r="59" spans="1:28" ht="21" hidden="1" customHeight="1" x14ac:dyDescent="0.35">
      <c r="A59" s="353"/>
      <c r="B59" s="362">
        <v>42</v>
      </c>
      <c r="C59" s="355">
        <v>0</v>
      </c>
      <c r="D59" s="356">
        <v>0</v>
      </c>
      <c r="E59" s="356">
        <v>0</v>
      </c>
      <c r="F59" s="356">
        <v>0</v>
      </c>
      <c r="G59" s="356">
        <v>0</v>
      </c>
      <c r="H59" s="356">
        <v>0</v>
      </c>
      <c r="I59" s="356">
        <v>0</v>
      </c>
      <c r="J59" s="357">
        <v>0</v>
      </c>
      <c r="K59" s="357">
        <v>0</v>
      </c>
      <c r="L59" s="357">
        <v>0</v>
      </c>
      <c r="M59" s="358">
        <v>0</v>
      </c>
      <c r="N59" s="358">
        <v>0</v>
      </c>
      <c r="O59" s="357">
        <v>0</v>
      </c>
      <c r="P59" s="358">
        <v>0</v>
      </c>
      <c r="Q59" s="359">
        <v>0</v>
      </c>
      <c r="R59" s="360">
        <v>0</v>
      </c>
      <c r="S59" s="360">
        <v>0</v>
      </c>
      <c r="T59" s="361"/>
      <c r="U59" s="306">
        <v>0</v>
      </c>
      <c r="V59" s="307">
        <v>0</v>
      </c>
      <c r="W59" s="306">
        <v>0</v>
      </c>
      <c r="X59" s="306">
        <v>0</v>
      </c>
      <c r="Y59" s="307">
        <v>0</v>
      </c>
      <c r="Z59" s="169"/>
      <c r="AA59" s="306">
        <v>17.989999999999998</v>
      </c>
      <c r="AB59" s="307">
        <v>17.989999999999998</v>
      </c>
    </row>
    <row r="60" spans="1:28" ht="21" hidden="1" customHeight="1" x14ac:dyDescent="0.35">
      <c r="A60" s="353"/>
      <c r="B60" s="362">
        <v>43</v>
      </c>
      <c r="C60" s="355">
        <v>0</v>
      </c>
      <c r="D60" s="356">
        <v>0</v>
      </c>
      <c r="E60" s="356">
        <v>0</v>
      </c>
      <c r="F60" s="356">
        <v>0</v>
      </c>
      <c r="G60" s="356">
        <v>0</v>
      </c>
      <c r="H60" s="356">
        <v>0</v>
      </c>
      <c r="I60" s="356">
        <v>0</v>
      </c>
      <c r="J60" s="357">
        <v>0</v>
      </c>
      <c r="K60" s="357">
        <v>0</v>
      </c>
      <c r="L60" s="357">
        <v>0</v>
      </c>
      <c r="M60" s="358">
        <v>0</v>
      </c>
      <c r="N60" s="358">
        <v>0</v>
      </c>
      <c r="O60" s="357">
        <v>0</v>
      </c>
      <c r="P60" s="358">
        <v>0</v>
      </c>
      <c r="Q60" s="359">
        <v>0</v>
      </c>
      <c r="R60" s="360">
        <v>0</v>
      </c>
      <c r="S60" s="360">
        <v>0</v>
      </c>
      <c r="T60" s="361"/>
      <c r="U60" s="306">
        <v>0</v>
      </c>
      <c r="V60" s="307">
        <v>0</v>
      </c>
      <c r="W60" s="306">
        <v>0</v>
      </c>
      <c r="X60" s="306">
        <v>0</v>
      </c>
      <c r="Y60" s="307">
        <v>0</v>
      </c>
      <c r="Z60" s="169"/>
      <c r="AA60" s="306">
        <v>17.989999999999998</v>
      </c>
      <c r="AB60" s="307">
        <v>17.989999999999998</v>
      </c>
    </row>
    <row r="61" spans="1:28" ht="21" hidden="1" customHeight="1" x14ac:dyDescent="0.35">
      <c r="A61" s="353"/>
      <c r="B61" s="362">
        <v>44</v>
      </c>
      <c r="C61" s="355">
        <v>0</v>
      </c>
      <c r="D61" s="356">
        <v>0</v>
      </c>
      <c r="E61" s="356">
        <v>0</v>
      </c>
      <c r="F61" s="356">
        <v>0</v>
      </c>
      <c r="G61" s="356">
        <v>0</v>
      </c>
      <c r="H61" s="356">
        <v>0</v>
      </c>
      <c r="I61" s="356">
        <v>0</v>
      </c>
      <c r="J61" s="357">
        <v>0</v>
      </c>
      <c r="K61" s="357">
        <v>0</v>
      </c>
      <c r="L61" s="357">
        <v>0</v>
      </c>
      <c r="M61" s="358">
        <v>0</v>
      </c>
      <c r="N61" s="358">
        <v>0</v>
      </c>
      <c r="O61" s="357">
        <v>0</v>
      </c>
      <c r="P61" s="358">
        <v>0</v>
      </c>
      <c r="Q61" s="359">
        <v>0</v>
      </c>
      <c r="R61" s="360">
        <v>0</v>
      </c>
      <c r="S61" s="360">
        <v>0</v>
      </c>
      <c r="T61" s="361"/>
      <c r="U61" s="306">
        <v>0</v>
      </c>
      <c r="V61" s="307">
        <v>0</v>
      </c>
      <c r="W61" s="306">
        <v>0</v>
      </c>
      <c r="X61" s="306">
        <v>0</v>
      </c>
      <c r="Y61" s="307">
        <v>0</v>
      </c>
      <c r="Z61" s="169"/>
      <c r="AA61" s="306">
        <v>17.989999999999998</v>
      </c>
      <c r="AB61" s="307">
        <v>17.989999999999998</v>
      </c>
    </row>
    <row r="62" spans="1:28" ht="21" hidden="1" customHeight="1" x14ac:dyDescent="0.35">
      <c r="A62" s="353"/>
      <c r="B62" s="362">
        <v>45</v>
      </c>
      <c r="C62" s="355">
        <v>0</v>
      </c>
      <c r="D62" s="356">
        <v>0</v>
      </c>
      <c r="E62" s="356">
        <v>0</v>
      </c>
      <c r="F62" s="356">
        <v>0</v>
      </c>
      <c r="G62" s="356">
        <v>0</v>
      </c>
      <c r="H62" s="356">
        <v>0</v>
      </c>
      <c r="I62" s="356">
        <v>0</v>
      </c>
      <c r="J62" s="357">
        <v>0</v>
      </c>
      <c r="K62" s="357">
        <v>0</v>
      </c>
      <c r="L62" s="357">
        <v>0</v>
      </c>
      <c r="M62" s="358">
        <v>0</v>
      </c>
      <c r="N62" s="358">
        <v>0</v>
      </c>
      <c r="O62" s="357">
        <v>0</v>
      </c>
      <c r="P62" s="358">
        <v>0</v>
      </c>
      <c r="Q62" s="359">
        <v>0</v>
      </c>
      <c r="R62" s="360">
        <v>0</v>
      </c>
      <c r="S62" s="360">
        <v>0</v>
      </c>
      <c r="T62" s="361"/>
      <c r="U62" s="306">
        <v>0</v>
      </c>
      <c r="V62" s="307">
        <v>0</v>
      </c>
      <c r="W62" s="306">
        <v>0</v>
      </c>
      <c r="X62" s="306">
        <v>0</v>
      </c>
      <c r="Y62" s="307">
        <v>0</v>
      </c>
      <c r="Z62" s="169"/>
      <c r="AA62" s="306">
        <v>17.989999999999998</v>
      </c>
      <c r="AB62" s="307">
        <v>17.989999999999998</v>
      </c>
    </row>
    <row r="63" spans="1:28" ht="21" hidden="1" customHeight="1" x14ac:dyDescent="0.35">
      <c r="A63" s="353"/>
      <c r="B63" s="362">
        <v>46</v>
      </c>
      <c r="C63" s="355">
        <v>0</v>
      </c>
      <c r="D63" s="356">
        <v>0</v>
      </c>
      <c r="E63" s="356">
        <v>0</v>
      </c>
      <c r="F63" s="356">
        <v>0</v>
      </c>
      <c r="G63" s="356">
        <v>0</v>
      </c>
      <c r="H63" s="356">
        <v>0</v>
      </c>
      <c r="I63" s="356">
        <v>0</v>
      </c>
      <c r="J63" s="357">
        <v>0</v>
      </c>
      <c r="K63" s="357">
        <v>0</v>
      </c>
      <c r="L63" s="357">
        <v>0</v>
      </c>
      <c r="M63" s="358">
        <v>0</v>
      </c>
      <c r="N63" s="358">
        <v>0</v>
      </c>
      <c r="O63" s="357">
        <v>0</v>
      </c>
      <c r="P63" s="358">
        <v>0</v>
      </c>
      <c r="Q63" s="359">
        <v>0</v>
      </c>
      <c r="R63" s="360">
        <v>0</v>
      </c>
      <c r="S63" s="360">
        <v>0</v>
      </c>
      <c r="T63" s="361"/>
      <c r="U63" s="306">
        <v>0</v>
      </c>
      <c r="V63" s="307">
        <v>0</v>
      </c>
      <c r="W63" s="306">
        <v>0</v>
      </c>
      <c r="X63" s="306">
        <v>0</v>
      </c>
      <c r="Y63" s="307">
        <v>0</v>
      </c>
      <c r="Z63" s="169"/>
      <c r="AA63" s="306">
        <v>17.989999999999998</v>
      </c>
      <c r="AB63" s="307">
        <v>17.989999999999998</v>
      </c>
    </row>
    <row r="64" spans="1:28" ht="21" hidden="1" customHeight="1" x14ac:dyDescent="0.35">
      <c r="A64" s="353"/>
      <c r="B64" s="362">
        <v>47</v>
      </c>
      <c r="C64" s="355">
        <v>0</v>
      </c>
      <c r="D64" s="356">
        <v>0</v>
      </c>
      <c r="E64" s="356">
        <v>0</v>
      </c>
      <c r="F64" s="356">
        <v>0</v>
      </c>
      <c r="G64" s="356">
        <v>0</v>
      </c>
      <c r="H64" s="356">
        <v>0</v>
      </c>
      <c r="I64" s="356">
        <v>0</v>
      </c>
      <c r="J64" s="357">
        <v>0</v>
      </c>
      <c r="K64" s="357">
        <v>0</v>
      </c>
      <c r="L64" s="357">
        <v>0</v>
      </c>
      <c r="M64" s="358">
        <v>0</v>
      </c>
      <c r="N64" s="358">
        <v>0</v>
      </c>
      <c r="O64" s="357">
        <v>0</v>
      </c>
      <c r="P64" s="358">
        <v>0</v>
      </c>
      <c r="Q64" s="359">
        <v>0</v>
      </c>
      <c r="R64" s="360">
        <v>0</v>
      </c>
      <c r="S64" s="360">
        <v>0</v>
      </c>
      <c r="T64" s="361"/>
      <c r="U64" s="306">
        <v>0</v>
      </c>
      <c r="V64" s="307">
        <v>0</v>
      </c>
      <c r="W64" s="306">
        <v>0</v>
      </c>
      <c r="X64" s="306">
        <v>0</v>
      </c>
      <c r="Y64" s="307">
        <v>0</v>
      </c>
      <c r="Z64" s="169"/>
      <c r="AA64" s="306">
        <v>17.989999999999998</v>
      </c>
      <c r="AB64" s="307">
        <v>17.989999999999998</v>
      </c>
    </row>
    <row r="65" spans="1:28" ht="21" hidden="1" customHeight="1" x14ac:dyDescent="0.35">
      <c r="A65" s="353"/>
      <c r="B65" s="362">
        <v>48</v>
      </c>
      <c r="C65" s="355">
        <v>0</v>
      </c>
      <c r="D65" s="356">
        <v>0</v>
      </c>
      <c r="E65" s="356">
        <v>0</v>
      </c>
      <c r="F65" s="356">
        <v>0</v>
      </c>
      <c r="G65" s="356">
        <v>0</v>
      </c>
      <c r="H65" s="356">
        <v>0</v>
      </c>
      <c r="I65" s="356">
        <v>0</v>
      </c>
      <c r="J65" s="357">
        <v>0</v>
      </c>
      <c r="K65" s="357">
        <v>0</v>
      </c>
      <c r="L65" s="357">
        <v>0</v>
      </c>
      <c r="M65" s="358">
        <v>0</v>
      </c>
      <c r="N65" s="358">
        <v>0</v>
      </c>
      <c r="O65" s="357">
        <v>0</v>
      </c>
      <c r="P65" s="358">
        <v>0</v>
      </c>
      <c r="Q65" s="359">
        <v>0</v>
      </c>
      <c r="R65" s="360">
        <v>0</v>
      </c>
      <c r="S65" s="360">
        <v>0</v>
      </c>
      <c r="T65" s="361"/>
      <c r="U65" s="306">
        <v>0</v>
      </c>
      <c r="V65" s="307">
        <v>0</v>
      </c>
      <c r="W65" s="306">
        <v>0</v>
      </c>
      <c r="X65" s="306">
        <v>0</v>
      </c>
      <c r="Y65" s="307">
        <v>0</v>
      </c>
      <c r="Z65" s="169"/>
      <c r="AA65" s="306">
        <v>17.989999999999998</v>
      </c>
      <c r="AB65" s="307">
        <v>17.989999999999998</v>
      </c>
    </row>
    <row r="66" spans="1:28" ht="21" hidden="1" customHeight="1" x14ac:dyDescent="0.35">
      <c r="A66" s="353"/>
      <c r="B66" s="362">
        <v>49</v>
      </c>
      <c r="C66" s="355">
        <v>0</v>
      </c>
      <c r="D66" s="356">
        <v>0</v>
      </c>
      <c r="E66" s="356">
        <v>0</v>
      </c>
      <c r="F66" s="356">
        <v>0</v>
      </c>
      <c r="G66" s="356">
        <v>0</v>
      </c>
      <c r="H66" s="356">
        <v>0</v>
      </c>
      <c r="I66" s="356">
        <v>0</v>
      </c>
      <c r="J66" s="357">
        <v>0</v>
      </c>
      <c r="K66" s="357">
        <v>0</v>
      </c>
      <c r="L66" s="357">
        <v>0</v>
      </c>
      <c r="M66" s="358">
        <v>0</v>
      </c>
      <c r="N66" s="358">
        <v>0</v>
      </c>
      <c r="O66" s="357">
        <v>0</v>
      </c>
      <c r="P66" s="358">
        <v>0</v>
      </c>
      <c r="Q66" s="359">
        <v>0</v>
      </c>
      <c r="R66" s="360">
        <v>0</v>
      </c>
      <c r="S66" s="360">
        <v>0</v>
      </c>
      <c r="T66" s="361"/>
      <c r="U66" s="306">
        <v>0</v>
      </c>
      <c r="V66" s="307">
        <v>0</v>
      </c>
      <c r="W66" s="306">
        <v>0</v>
      </c>
      <c r="X66" s="306">
        <v>0</v>
      </c>
      <c r="Y66" s="307">
        <v>0</v>
      </c>
      <c r="Z66" s="169"/>
      <c r="AA66" s="306">
        <v>17.989999999999998</v>
      </c>
      <c r="AB66" s="307">
        <v>17.989999999999998</v>
      </c>
    </row>
    <row r="67" spans="1:28" ht="21" hidden="1" customHeight="1" x14ac:dyDescent="0.35">
      <c r="A67" s="353"/>
      <c r="B67" s="362">
        <v>50</v>
      </c>
      <c r="C67" s="355">
        <v>0</v>
      </c>
      <c r="D67" s="356">
        <v>0</v>
      </c>
      <c r="E67" s="356">
        <v>0</v>
      </c>
      <c r="F67" s="356">
        <v>0</v>
      </c>
      <c r="G67" s="356">
        <v>0</v>
      </c>
      <c r="H67" s="356">
        <v>0</v>
      </c>
      <c r="I67" s="356">
        <v>0</v>
      </c>
      <c r="J67" s="357">
        <v>0</v>
      </c>
      <c r="K67" s="357">
        <v>0</v>
      </c>
      <c r="L67" s="357">
        <v>0</v>
      </c>
      <c r="M67" s="358">
        <v>0</v>
      </c>
      <c r="N67" s="358">
        <v>0</v>
      </c>
      <c r="O67" s="357">
        <v>0</v>
      </c>
      <c r="P67" s="358">
        <v>0</v>
      </c>
      <c r="Q67" s="359">
        <v>0</v>
      </c>
      <c r="R67" s="360">
        <v>0</v>
      </c>
      <c r="S67" s="360">
        <v>0</v>
      </c>
      <c r="T67" s="361"/>
      <c r="U67" s="306">
        <v>0</v>
      </c>
      <c r="V67" s="307">
        <v>0</v>
      </c>
      <c r="W67" s="306">
        <v>0</v>
      </c>
      <c r="X67" s="306">
        <v>0</v>
      </c>
      <c r="Y67" s="307">
        <v>0</v>
      </c>
      <c r="Z67" s="169"/>
      <c r="AA67" s="306">
        <v>17.989999999999998</v>
      </c>
      <c r="AB67" s="307">
        <v>17.989999999999998</v>
      </c>
    </row>
    <row r="68" spans="1:28" ht="21" hidden="1" customHeight="1" x14ac:dyDescent="0.35">
      <c r="A68" s="353"/>
      <c r="B68" s="362">
        <v>51</v>
      </c>
      <c r="C68" s="355">
        <v>0</v>
      </c>
      <c r="D68" s="356">
        <v>0</v>
      </c>
      <c r="E68" s="356">
        <v>0</v>
      </c>
      <c r="F68" s="356">
        <v>0</v>
      </c>
      <c r="G68" s="356">
        <v>0</v>
      </c>
      <c r="H68" s="356">
        <v>0</v>
      </c>
      <c r="I68" s="356">
        <v>0</v>
      </c>
      <c r="J68" s="357">
        <v>0</v>
      </c>
      <c r="K68" s="357">
        <v>0</v>
      </c>
      <c r="L68" s="357">
        <v>0</v>
      </c>
      <c r="M68" s="358">
        <v>0</v>
      </c>
      <c r="N68" s="358">
        <v>0</v>
      </c>
      <c r="O68" s="357">
        <v>0</v>
      </c>
      <c r="P68" s="358">
        <v>0</v>
      </c>
      <c r="Q68" s="359">
        <v>0</v>
      </c>
      <c r="R68" s="360">
        <v>0</v>
      </c>
      <c r="S68" s="360">
        <v>0</v>
      </c>
      <c r="T68" s="361"/>
      <c r="U68" s="306">
        <v>0</v>
      </c>
      <c r="V68" s="307">
        <v>0</v>
      </c>
      <c r="W68" s="306">
        <v>0</v>
      </c>
      <c r="X68" s="306">
        <v>0</v>
      </c>
      <c r="Y68" s="307">
        <v>0</v>
      </c>
      <c r="Z68" s="169"/>
      <c r="AA68" s="306">
        <v>17.989999999999998</v>
      </c>
      <c r="AB68" s="307">
        <v>17.989999999999998</v>
      </c>
    </row>
    <row r="69" spans="1:28" ht="21" hidden="1" customHeight="1" x14ac:dyDescent="0.35">
      <c r="A69" s="353"/>
      <c r="B69" s="362">
        <v>52</v>
      </c>
      <c r="C69" s="355">
        <v>0</v>
      </c>
      <c r="D69" s="356">
        <v>0</v>
      </c>
      <c r="E69" s="356">
        <v>0</v>
      </c>
      <c r="F69" s="356">
        <v>0</v>
      </c>
      <c r="G69" s="356">
        <v>0</v>
      </c>
      <c r="H69" s="356">
        <v>0</v>
      </c>
      <c r="I69" s="356">
        <v>0</v>
      </c>
      <c r="J69" s="357">
        <v>0</v>
      </c>
      <c r="K69" s="357">
        <v>0</v>
      </c>
      <c r="L69" s="357">
        <v>0</v>
      </c>
      <c r="M69" s="358">
        <v>0</v>
      </c>
      <c r="N69" s="358">
        <v>0</v>
      </c>
      <c r="O69" s="357">
        <v>0</v>
      </c>
      <c r="P69" s="358">
        <v>0</v>
      </c>
      <c r="Q69" s="359">
        <v>0</v>
      </c>
      <c r="R69" s="360">
        <v>0</v>
      </c>
      <c r="S69" s="360">
        <v>0</v>
      </c>
      <c r="T69" s="361"/>
      <c r="U69" s="306">
        <v>0</v>
      </c>
      <c r="V69" s="307">
        <v>0</v>
      </c>
      <c r="W69" s="306">
        <v>0</v>
      </c>
      <c r="X69" s="306">
        <v>0</v>
      </c>
      <c r="Y69" s="307">
        <v>0</v>
      </c>
      <c r="Z69" s="169"/>
      <c r="AA69" s="306">
        <v>17.989999999999998</v>
      </c>
      <c r="AB69" s="307">
        <v>17.989999999999998</v>
      </c>
    </row>
    <row r="70" spans="1:28" ht="21" hidden="1" customHeight="1" x14ac:dyDescent="0.35">
      <c r="A70" s="353"/>
      <c r="B70" s="362">
        <v>53</v>
      </c>
      <c r="C70" s="355">
        <v>0</v>
      </c>
      <c r="D70" s="356">
        <v>0</v>
      </c>
      <c r="E70" s="356">
        <v>0</v>
      </c>
      <c r="F70" s="356">
        <v>0</v>
      </c>
      <c r="G70" s="356">
        <v>0</v>
      </c>
      <c r="H70" s="356">
        <v>0</v>
      </c>
      <c r="I70" s="356">
        <v>0</v>
      </c>
      <c r="J70" s="357">
        <v>0</v>
      </c>
      <c r="K70" s="357">
        <v>0</v>
      </c>
      <c r="L70" s="357">
        <v>0</v>
      </c>
      <c r="M70" s="358">
        <v>0</v>
      </c>
      <c r="N70" s="358">
        <v>0</v>
      </c>
      <c r="O70" s="357">
        <v>0</v>
      </c>
      <c r="P70" s="358">
        <v>0</v>
      </c>
      <c r="Q70" s="359">
        <v>0</v>
      </c>
      <c r="R70" s="360">
        <v>0</v>
      </c>
      <c r="S70" s="360">
        <v>0</v>
      </c>
      <c r="T70" s="361"/>
      <c r="U70" s="306">
        <v>0</v>
      </c>
      <c r="V70" s="307">
        <v>0</v>
      </c>
      <c r="W70" s="306">
        <v>0</v>
      </c>
      <c r="X70" s="306">
        <v>0</v>
      </c>
      <c r="Y70" s="307">
        <v>0</v>
      </c>
      <c r="Z70" s="169"/>
      <c r="AA70" s="306">
        <v>17.989999999999998</v>
      </c>
      <c r="AB70" s="307">
        <v>17.989999999999998</v>
      </c>
    </row>
    <row r="71" spans="1:28" ht="21" hidden="1" customHeight="1" x14ac:dyDescent="0.35">
      <c r="A71" s="353"/>
      <c r="B71" s="362">
        <v>54</v>
      </c>
      <c r="C71" s="355">
        <v>0</v>
      </c>
      <c r="D71" s="356">
        <v>0</v>
      </c>
      <c r="E71" s="356">
        <v>0</v>
      </c>
      <c r="F71" s="356">
        <v>0</v>
      </c>
      <c r="G71" s="356">
        <v>0</v>
      </c>
      <c r="H71" s="356">
        <v>0</v>
      </c>
      <c r="I71" s="356">
        <v>0</v>
      </c>
      <c r="J71" s="357">
        <v>0</v>
      </c>
      <c r="K71" s="357">
        <v>0</v>
      </c>
      <c r="L71" s="357">
        <v>0</v>
      </c>
      <c r="M71" s="358">
        <v>0</v>
      </c>
      <c r="N71" s="358">
        <v>0</v>
      </c>
      <c r="O71" s="357">
        <v>0</v>
      </c>
      <c r="P71" s="358">
        <v>0</v>
      </c>
      <c r="Q71" s="359">
        <v>0</v>
      </c>
      <c r="R71" s="360">
        <v>0</v>
      </c>
      <c r="S71" s="360">
        <v>0</v>
      </c>
      <c r="T71" s="361"/>
      <c r="U71" s="306">
        <v>0</v>
      </c>
      <c r="V71" s="307">
        <v>0</v>
      </c>
      <c r="W71" s="306">
        <v>0</v>
      </c>
      <c r="X71" s="306">
        <v>0</v>
      </c>
      <c r="Y71" s="307">
        <v>0</v>
      </c>
      <c r="Z71" s="169"/>
      <c r="AA71" s="306">
        <v>17.989999999999998</v>
      </c>
      <c r="AB71" s="307">
        <v>17.989999999999998</v>
      </c>
    </row>
    <row r="72" spans="1:28" ht="21" hidden="1" customHeight="1" x14ac:dyDescent="0.35">
      <c r="A72" s="353"/>
      <c r="B72" s="362">
        <v>55</v>
      </c>
      <c r="C72" s="355">
        <v>0</v>
      </c>
      <c r="D72" s="356">
        <v>0</v>
      </c>
      <c r="E72" s="356">
        <v>0</v>
      </c>
      <c r="F72" s="356">
        <v>0</v>
      </c>
      <c r="G72" s="356">
        <v>0</v>
      </c>
      <c r="H72" s="356">
        <v>0</v>
      </c>
      <c r="I72" s="356">
        <v>0</v>
      </c>
      <c r="J72" s="357">
        <v>0</v>
      </c>
      <c r="K72" s="357">
        <v>0</v>
      </c>
      <c r="L72" s="357">
        <v>0</v>
      </c>
      <c r="M72" s="358">
        <v>0</v>
      </c>
      <c r="N72" s="358">
        <v>0</v>
      </c>
      <c r="O72" s="357">
        <v>0</v>
      </c>
      <c r="P72" s="358">
        <v>0</v>
      </c>
      <c r="Q72" s="359">
        <v>0</v>
      </c>
      <c r="R72" s="360">
        <v>0</v>
      </c>
      <c r="S72" s="360">
        <v>0</v>
      </c>
      <c r="T72" s="361"/>
      <c r="U72" s="306">
        <v>0</v>
      </c>
      <c r="V72" s="307">
        <v>0</v>
      </c>
      <c r="W72" s="306">
        <v>0</v>
      </c>
      <c r="X72" s="306">
        <v>0</v>
      </c>
      <c r="Y72" s="307">
        <v>0</v>
      </c>
      <c r="Z72" s="169"/>
      <c r="AA72" s="306">
        <v>17.989999999999998</v>
      </c>
      <c r="AB72" s="307">
        <v>17.989999999999998</v>
      </c>
    </row>
    <row r="73" spans="1:28" ht="21" hidden="1" customHeight="1" x14ac:dyDescent="0.35">
      <c r="A73" s="353"/>
      <c r="B73" s="362">
        <v>56</v>
      </c>
      <c r="C73" s="355">
        <v>0</v>
      </c>
      <c r="D73" s="356">
        <v>0</v>
      </c>
      <c r="E73" s="356">
        <v>0</v>
      </c>
      <c r="F73" s="356">
        <v>0</v>
      </c>
      <c r="G73" s="356">
        <v>0</v>
      </c>
      <c r="H73" s="356">
        <v>0</v>
      </c>
      <c r="I73" s="356">
        <v>0</v>
      </c>
      <c r="J73" s="357">
        <v>0</v>
      </c>
      <c r="K73" s="357">
        <v>0</v>
      </c>
      <c r="L73" s="357">
        <v>0</v>
      </c>
      <c r="M73" s="358">
        <v>0</v>
      </c>
      <c r="N73" s="358">
        <v>0</v>
      </c>
      <c r="O73" s="357">
        <v>0</v>
      </c>
      <c r="P73" s="358">
        <v>0</v>
      </c>
      <c r="Q73" s="359">
        <v>0</v>
      </c>
      <c r="R73" s="360">
        <v>0</v>
      </c>
      <c r="S73" s="360">
        <v>0</v>
      </c>
      <c r="T73" s="361"/>
      <c r="U73" s="306">
        <v>0</v>
      </c>
      <c r="V73" s="307">
        <v>0</v>
      </c>
      <c r="W73" s="306">
        <v>0</v>
      </c>
      <c r="X73" s="306">
        <v>0</v>
      </c>
      <c r="Y73" s="307">
        <v>0</v>
      </c>
      <c r="Z73" s="169"/>
      <c r="AA73" s="306">
        <v>17.989999999999998</v>
      </c>
      <c r="AB73" s="307">
        <v>17.989999999999998</v>
      </c>
    </row>
    <row r="74" spans="1:28" ht="21" hidden="1" customHeight="1" x14ac:dyDescent="0.35">
      <c r="A74" s="353"/>
      <c r="B74" s="362">
        <v>57</v>
      </c>
      <c r="C74" s="355">
        <v>0</v>
      </c>
      <c r="D74" s="356">
        <v>0</v>
      </c>
      <c r="E74" s="356">
        <v>0</v>
      </c>
      <c r="F74" s="356">
        <v>0</v>
      </c>
      <c r="G74" s="356">
        <v>0</v>
      </c>
      <c r="H74" s="356">
        <v>0</v>
      </c>
      <c r="I74" s="356">
        <v>0</v>
      </c>
      <c r="J74" s="357">
        <v>0</v>
      </c>
      <c r="K74" s="357">
        <v>0</v>
      </c>
      <c r="L74" s="357">
        <v>0</v>
      </c>
      <c r="M74" s="358">
        <v>0</v>
      </c>
      <c r="N74" s="358">
        <v>0</v>
      </c>
      <c r="O74" s="357">
        <v>0</v>
      </c>
      <c r="P74" s="358">
        <v>0</v>
      </c>
      <c r="Q74" s="359">
        <v>0</v>
      </c>
      <c r="R74" s="360">
        <v>0</v>
      </c>
      <c r="S74" s="360">
        <v>0</v>
      </c>
      <c r="T74" s="361"/>
      <c r="U74" s="306">
        <v>0</v>
      </c>
      <c r="V74" s="307">
        <v>0</v>
      </c>
      <c r="W74" s="306">
        <v>0</v>
      </c>
      <c r="X74" s="306">
        <v>0</v>
      </c>
      <c r="Y74" s="307">
        <v>0</v>
      </c>
      <c r="Z74" s="169"/>
      <c r="AA74" s="306">
        <v>17.989999999999998</v>
      </c>
      <c r="AB74" s="307">
        <v>17.989999999999998</v>
      </c>
    </row>
    <row r="75" spans="1:28" ht="21" hidden="1" customHeight="1" x14ac:dyDescent="0.35">
      <c r="A75" s="353"/>
      <c r="B75" s="362">
        <v>58</v>
      </c>
      <c r="C75" s="355">
        <v>0</v>
      </c>
      <c r="D75" s="356">
        <v>0</v>
      </c>
      <c r="E75" s="356">
        <v>0</v>
      </c>
      <c r="F75" s="356">
        <v>0</v>
      </c>
      <c r="G75" s="356">
        <v>0</v>
      </c>
      <c r="H75" s="356">
        <v>0</v>
      </c>
      <c r="I75" s="356">
        <v>0</v>
      </c>
      <c r="J75" s="357">
        <v>0</v>
      </c>
      <c r="K75" s="357">
        <v>0</v>
      </c>
      <c r="L75" s="357">
        <v>0</v>
      </c>
      <c r="M75" s="358">
        <v>0</v>
      </c>
      <c r="N75" s="358">
        <v>0</v>
      </c>
      <c r="O75" s="357">
        <v>0</v>
      </c>
      <c r="P75" s="358">
        <v>0</v>
      </c>
      <c r="Q75" s="359">
        <v>0</v>
      </c>
      <c r="R75" s="360">
        <v>0</v>
      </c>
      <c r="S75" s="360">
        <v>0</v>
      </c>
      <c r="T75" s="361"/>
      <c r="U75" s="306">
        <v>0</v>
      </c>
      <c r="V75" s="307">
        <v>0</v>
      </c>
      <c r="W75" s="306">
        <v>0</v>
      </c>
      <c r="X75" s="306">
        <v>0</v>
      </c>
      <c r="Y75" s="307">
        <v>0</v>
      </c>
      <c r="Z75" s="169"/>
      <c r="AA75" s="306">
        <v>17.989999999999998</v>
      </c>
      <c r="AB75" s="307">
        <v>17.989999999999998</v>
      </c>
    </row>
    <row r="76" spans="1:28" ht="21" hidden="1" customHeight="1" x14ac:dyDescent="0.35">
      <c r="A76" s="353"/>
      <c r="B76" s="362">
        <v>59</v>
      </c>
      <c r="C76" s="355">
        <v>0</v>
      </c>
      <c r="D76" s="356">
        <v>0</v>
      </c>
      <c r="E76" s="356">
        <v>0</v>
      </c>
      <c r="F76" s="356">
        <v>0</v>
      </c>
      <c r="G76" s="356">
        <v>0</v>
      </c>
      <c r="H76" s="356">
        <v>0</v>
      </c>
      <c r="I76" s="356">
        <v>0</v>
      </c>
      <c r="J76" s="357">
        <v>0</v>
      </c>
      <c r="K76" s="357">
        <v>0</v>
      </c>
      <c r="L76" s="357">
        <v>0</v>
      </c>
      <c r="M76" s="358">
        <v>0</v>
      </c>
      <c r="N76" s="358">
        <v>0</v>
      </c>
      <c r="O76" s="357">
        <v>0</v>
      </c>
      <c r="P76" s="358">
        <v>0</v>
      </c>
      <c r="Q76" s="359">
        <v>0</v>
      </c>
      <c r="R76" s="360">
        <v>0</v>
      </c>
      <c r="S76" s="360">
        <v>0</v>
      </c>
      <c r="T76" s="361"/>
      <c r="U76" s="306">
        <v>0</v>
      </c>
      <c r="V76" s="307">
        <v>0</v>
      </c>
      <c r="W76" s="306">
        <v>0</v>
      </c>
      <c r="X76" s="306">
        <v>0</v>
      </c>
      <c r="Y76" s="307">
        <v>0</v>
      </c>
      <c r="Z76" s="169"/>
      <c r="AA76" s="306">
        <v>17.989999999999998</v>
      </c>
      <c r="AB76" s="307">
        <v>17.989999999999998</v>
      </c>
    </row>
    <row r="77" spans="1:28" ht="21" hidden="1" customHeight="1" x14ac:dyDescent="0.35">
      <c r="A77" s="353"/>
      <c r="B77" s="362">
        <v>60</v>
      </c>
      <c r="C77" s="355">
        <v>0</v>
      </c>
      <c r="D77" s="356">
        <v>0</v>
      </c>
      <c r="E77" s="356">
        <v>0</v>
      </c>
      <c r="F77" s="356">
        <v>0</v>
      </c>
      <c r="G77" s="356">
        <v>0</v>
      </c>
      <c r="H77" s="356">
        <v>0</v>
      </c>
      <c r="I77" s="356">
        <v>0</v>
      </c>
      <c r="J77" s="357">
        <v>0</v>
      </c>
      <c r="K77" s="357">
        <v>0</v>
      </c>
      <c r="L77" s="357">
        <v>0</v>
      </c>
      <c r="M77" s="358">
        <v>0</v>
      </c>
      <c r="N77" s="358">
        <v>0</v>
      </c>
      <c r="O77" s="357">
        <v>0</v>
      </c>
      <c r="P77" s="358">
        <v>0</v>
      </c>
      <c r="Q77" s="359">
        <v>0</v>
      </c>
      <c r="R77" s="360">
        <v>0</v>
      </c>
      <c r="S77" s="360">
        <v>0</v>
      </c>
      <c r="T77" s="361"/>
      <c r="U77" s="306">
        <v>0</v>
      </c>
      <c r="V77" s="307">
        <v>0</v>
      </c>
      <c r="W77" s="306">
        <v>0</v>
      </c>
      <c r="X77" s="306">
        <v>0</v>
      </c>
      <c r="Y77" s="307">
        <v>0</v>
      </c>
      <c r="Z77" s="169"/>
      <c r="AA77" s="306">
        <v>17.989999999999998</v>
      </c>
      <c r="AB77" s="307">
        <v>17.989999999999998</v>
      </c>
    </row>
    <row r="78" spans="1:28" ht="21" hidden="1" customHeight="1" x14ac:dyDescent="0.35">
      <c r="A78" s="353"/>
      <c r="B78" s="362">
        <v>61</v>
      </c>
      <c r="C78" s="355">
        <v>0</v>
      </c>
      <c r="D78" s="356">
        <v>0</v>
      </c>
      <c r="E78" s="356">
        <v>0</v>
      </c>
      <c r="F78" s="356">
        <v>0</v>
      </c>
      <c r="G78" s="356">
        <v>0</v>
      </c>
      <c r="H78" s="356">
        <v>0</v>
      </c>
      <c r="I78" s="356">
        <v>0</v>
      </c>
      <c r="J78" s="357">
        <v>0</v>
      </c>
      <c r="K78" s="357">
        <v>0</v>
      </c>
      <c r="L78" s="357">
        <v>0</v>
      </c>
      <c r="M78" s="358">
        <v>0</v>
      </c>
      <c r="N78" s="358">
        <v>0</v>
      </c>
      <c r="O78" s="357">
        <v>0</v>
      </c>
      <c r="P78" s="358">
        <v>0</v>
      </c>
      <c r="Q78" s="359">
        <v>0</v>
      </c>
      <c r="R78" s="360">
        <v>0</v>
      </c>
      <c r="S78" s="360">
        <v>0</v>
      </c>
      <c r="T78" s="361"/>
      <c r="U78" s="306">
        <v>0</v>
      </c>
      <c r="V78" s="307">
        <v>0</v>
      </c>
      <c r="W78" s="306">
        <v>0</v>
      </c>
      <c r="X78" s="306">
        <v>0</v>
      </c>
      <c r="Y78" s="307">
        <v>0</v>
      </c>
      <c r="Z78" s="169"/>
      <c r="AA78" s="306">
        <v>17.989999999999998</v>
      </c>
      <c r="AB78" s="307">
        <v>17.989999999999998</v>
      </c>
    </row>
    <row r="79" spans="1:28" ht="21" hidden="1" customHeight="1" x14ac:dyDescent="0.35">
      <c r="A79" s="353"/>
      <c r="B79" s="362">
        <v>62</v>
      </c>
      <c r="C79" s="355">
        <v>0</v>
      </c>
      <c r="D79" s="356">
        <v>0</v>
      </c>
      <c r="E79" s="356">
        <v>0</v>
      </c>
      <c r="F79" s="356">
        <v>0</v>
      </c>
      <c r="G79" s="356">
        <v>0</v>
      </c>
      <c r="H79" s="356">
        <v>0</v>
      </c>
      <c r="I79" s="356">
        <v>0</v>
      </c>
      <c r="J79" s="357">
        <v>0</v>
      </c>
      <c r="K79" s="357">
        <v>0</v>
      </c>
      <c r="L79" s="357">
        <v>0</v>
      </c>
      <c r="M79" s="358">
        <v>0</v>
      </c>
      <c r="N79" s="358">
        <v>0</v>
      </c>
      <c r="O79" s="357">
        <v>0</v>
      </c>
      <c r="P79" s="358">
        <v>0</v>
      </c>
      <c r="Q79" s="359">
        <v>0</v>
      </c>
      <c r="R79" s="360">
        <v>0</v>
      </c>
      <c r="S79" s="360">
        <v>0</v>
      </c>
      <c r="T79" s="361"/>
      <c r="U79" s="306">
        <v>0</v>
      </c>
      <c r="V79" s="307">
        <v>0</v>
      </c>
      <c r="W79" s="306">
        <v>0</v>
      </c>
      <c r="X79" s="306">
        <v>0</v>
      </c>
      <c r="Y79" s="307">
        <v>0</v>
      </c>
      <c r="Z79" s="169"/>
      <c r="AA79" s="306">
        <v>17.989999999999998</v>
      </c>
      <c r="AB79" s="307">
        <v>17.989999999999998</v>
      </c>
    </row>
    <row r="80" spans="1:28" ht="21" hidden="1" customHeight="1" x14ac:dyDescent="0.35">
      <c r="A80" s="353"/>
      <c r="B80" s="362">
        <v>63</v>
      </c>
      <c r="C80" s="355">
        <v>0</v>
      </c>
      <c r="D80" s="356">
        <v>0</v>
      </c>
      <c r="E80" s="356">
        <v>0</v>
      </c>
      <c r="F80" s="356">
        <v>0</v>
      </c>
      <c r="G80" s="356">
        <v>0</v>
      </c>
      <c r="H80" s="356">
        <v>0</v>
      </c>
      <c r="I80" s="356">
        <v>0</v>
      </c>
      <c r="J80" s="357">
        <v>0</v>
      </c>
      <c r="K80" s="357">
        <v>0</v>
      </c>
      <c r="L80" s="357">
        <v>0</v>
      </c>
      <c r="M80" s="358">
        <v>0</v>
      </c>
      <c r="N80" s="358">
        <v>0</v>
      </c>
      <c r="O80" s="357">
        <v>0</v>
      </c>
      <c r="P80" s="358">
        <v>0</v>
      </c>
      <c r="Q80" s="359">
        <v>0</v>
      </c>
      <c r="R80" s="360">
        <v>0</v>
      </c>
      <c r="S80" s="360">
        <v>0</v>
      </c>
      <c r="T80" s="361"/>
      <c r="U80" s="306">
        <v>0</v>
      </c>
      <c r="V80" s="307">
        <v>0</v>
      </c>
      <c r="W80" s="306">
        <v>0</v>
      </c>
      <c r="X80" s="306">
        <v>0</v>
      </c>
      <c r="Y80" s="307">
        <v>0</v>
      </c>
      <c r="Z80" s="169"/>
      <c r="AA80" s="306">
        <v>17.989999999999998</v>
      </c>
      <c r="AB80" s="307">
        <v>17.989999999999998</v>
      </c>
    </row>
    <row r="81" spans="1:28" ht="21" hidden="1" customHeight="1" x14ac:dyDescent="0.35">
      <c r="A81" s="353"/>
      <c r="B81" s="362">
        <v>64</v>
      </c>
      <c r="C81" s="355">
        <v>0</v>
      </c>
      <c r="D81" s="356">
        <v>0</v>
      </c>
      <c r="E81" s="356">
        <v>0</v>
      </c>
      <c r="F81" s="356">
        <v>0</v>
      </c>
      <c r="G81" s="356">
        <v>0</v>
      </c>
      <c r="H81" s="356">
        <v>0</v>
      </c>
      <c r="I81" s="356">
        <v>0</v>
      </c>
      <c r="J81" s="357">
        <v>0</v>
      </c>
      <c r="K81" s="357">
        <v>0</v>
      </c>
      <c r="L81" s="357">
        <v>0</v>
      </c>
      <c r="M81" s="358">
        <v>0</v>
      </c>
      <c r="N81" s="358">
        <v>0</v>
      </c>
      <c r="O81" s="357">
        <v>0</v>
      </c>
      <c r="P81" s="358">
        <v>0</v>
      </c>
      <c r="Q81" s="359">
        <v>0</v>
      </c>
      <c r="R81" s="360">
        <v>0</v>
      </c>
      <c r="S81" s="360">
        <v>0</v>
      </c>
      <c r="T81" s="361"/>
      <c r="U81" s="306">
        <v>0</v>
      </c>
      <c r="V81" s="307">
        <v>0</v>
      </c>
      <c r="W81" s="306">
        <v>0</v>
      </c>
      <c r="X81" s="306">
        <v>0</v>
      </c>
      <c r="Y81" s="307">
        <v>0</v>
      </c>
      <c r="Z81" s="169"/>
      <c r="AA81" s="306">
        <v>17.989999999999998</v>
      </c>
      <c r="AB81" s="307">
        <v>17.989999999999998</v>
      </c>
    </row>
    <row r="82" spans="1:28" ht="21" hidden="1" customHeight="1" x14ac:dyDescent="0.35">
      <c r="A82" s="353"/>
      <c r="B82" s="362">
        <v>65</v>
      </c>
      <c r="C82" s="355">
        <v>0</v>
      </c>
      <c r="D82" s="356">
        <v>0</v>
      </c>
      <c r="E82" s="356">
        <v>0</v>
      </c>
      <c r="F82" s="356">
        <v>0</v>
      </c>
      <c r="G82" s="356">
        <v>0</v>
      </c>
      <c r="H82" s="356">
        <v>0</v>
      </c>
      <c r="I82" s="356">
        <v>0</v>
      </c>
      <c r="J82" s="357">
        <v>0</v>
      </c>
      <c r="K82" s="357">
        <v>0</v>
      </c>
      <c r="L82" s="357">
        <v>0</v>
      </c>
      <c r="M82" s="358">
        <v>0</v>
      </c>
      <c r="N82" s="358">
        <v>0</v>
      </c>
      <c r="O82" s="357">
        <v>0</v>
      </c>
      <c r="P82" s="358">
        <v>0</v>
      </c>
      <c r="Q82" s="359">
        <v>0</v>
      </c>
      <c r="R82" s="360">
        <v>0</v>
      </c>
      <c r="S82" s="360">
        <v>0</v>
      </c>
      <c r="T82" s="361"/>
      <c r="U82" s="306">
        <v>0</v>
      </c>
      <c r="V82" s="307">
        <v>0</v>
      </c>
      <c r="W82" s="306">
        <v>0</v>
      </c>
      <c r="X82" s="306">
        <v>0</v>
      </c>
      <c r="Y82" s="307">
        <v>0</v>
      </c>
      <c r="Z82" s="169"/>
      <c r="AA82" s="306">
        <v>17.989999999999998</v>
      </c>
      <c r="AB82" s="307">
        <v>17.989999999999998</v>
      </c>
    </row>
    <row r="83" spans="1:28" ht="21" hidden="1" customHeight="1" x14ac:dyDescent="0.35">
      <c r="A83" s="353"/>
      <c r="B83" s="362">
        <v>66</v>
      </c>
      <c r="C83" s="355">
        <v>0</v>
      </c>
      <c r="D83" s="356">
        <v>0</v>
      </c>
      <c r="E83" s="356">
        <v>0</v>
      </c>
      <c r="F83" s="356">
        <v>0</v>
      </c>
      <c r="G83" s="356">
        <v>0</v>
      </c>
      <c r="H83" s="356">
        <v>0</v>
      </c>
      <c r="I83" s="356">
        <v>0</v>
      </c>
      <c r="J83" s="357">
        <v>0</v>
      </c>
      <c r="K83" s="357">
        <v>0</v>
      </c>
      <c r="L83" s="357">
        <v>0</v>
      </c>
      <c r="M83" s="358">
        <v>0</v>
      </c>
      <c r="N83" s="358">
        <v>0</v>
      </c>
      <c r="O83" s="357">
        <v>0</v>
      </c>
      <c r="P83" s="358">
        <v>0</v>
      </c>
      <c r="Q83" s="359">
        <v>0</v>
      </c>
      <c r="R83" s="360">
        <v>0</v>
      </c>
      <c r="S83" s="360">
        <v>0</v>
      </c>
      <c r="T83" s="361"/>
      <c r="U83" s="306">
        <v>0</v>
      </c>
      <c r="V83" s="307">
        <v>0</v>
      </c>
      <c r="W83" s="306">
        <v>0</v>
      </c>
      <c r="X83" s="306">
        <v>0</v>
      </c>
      <c r="Y83" s="307">
        <v>0</v>
      </c>
      <c r="Z83" s="169"/>
      <c r="AA83" s="306">
        <v>17.989999999999998</v>
      </c>
      <c r="AB83" s="307">
        <v>17.989999999999998</v>
      </c>
    </row>
    <row r="84" spans="1:28" ht="21" hidden="1" customHeight="1" x14ac:dyDescent="0.35">
      <c r="A84" s="353"/>
      <c r="B84" s="362">
        <v>67</v>
      </c>
      <c r="C84" s="355">
        <v>0</v>
      </c>
      <c r="D84" s="356">
        <v>0</v>
      </c>
      <c r="E84" s="356">
        <v>0</v>
      </c>
      <c r="F84" s="356">
        <v>0</v>
      </c>
      <c r="G84" s="356">
        <v>0</v>
      </c>
      <c r="H84" s="356">
        <v>0</v>
      </c>
      <c r="I84" s="356">
        <v>0</v>
      </c>
      <c r="J84" s="357">
        <v>0</v>
      </c>
      <c r="K84" s="357">
        <v>0</v>
      </c>
      <c r="L84" s="357">
        <v>0</v>
      </c>
      <c r="M84" s="358">
        <v>0</v>
      </c>
      <c r="N84" s="358">
        <v>0</v>
      </c>
      <c r="O84" s="357">
        <v>0</v>
      </c>
      <c r="P84" s="358">
        <v>0</v>
      </c>
      <c r="Q84" s="359">
        <v>0</v>
      </c>
      <c r="R84" s="360">
        <v>0</v>
      </c>
      <c r="S84" s="360">
        <v>0</v>
      </c>
      <c r="T84" s="361"/>
      <c r="U84" s="306">
        <v>0</v>
      </c>
      <c r="V84" s="307">
        <v>0</v>
      </c>
      <c r="W84" s="306">
        <v>0</v>
      </c>
      <c r="X84" s="306">
        <v>0</v>
      </c>
      <c r="Y84" s="307">
        <v>0</v>
      </c>
      <c r="Z84" s="169"/>
      <c r="AA84" s="306">
        <v>17.989999999999998</v>
      </c>
      <c r="AB84" s="307">
        <v>17.989999999999998</v>
      </c>
    </row>
    <row r="85" spans="1:28" ht="21" hidden="1" customHeight="1" x14ac:dyDescent="0.35">
      <c r="A85" s="353"/>
      <c r="B85" s="362">
        <v>68</v>
      </c>
      <c r="C85" s="355">
        <v>0</v>
      </c>
      <c r="D85" s="356">
        <v>0</v>
      </c>
      <c r="E85" s="356">
        <v>0</v>
      </c>
      <c r="F85" s="356">
        <v>0</v>
      </c>
      <c r="G85" s="356">
        <v>0</v>
      </c>
      <c r="H85" s="356">
        <v>0</v>
      </c>
      <c r="I85" s="356">
        <v>0</v>
      </c>
      <c r="J85" s="357">
        <v>0</v>
      </c>
      <c r="K85" s="357">
        <v>0</v>
      </c>
      <c r="L85" s="357">
        <v>0</v>
      </c>
      <c r="M85" s="358">
        <v>0</v>
      </c>
      <c r="N85" s="358">
        <v>0</v>
      </c>
      <c r="O85" s="357">
        <v>0</v>
      </c>
      <c r="P85" s="358">
        <v>0</v>
      </c>
      <c r="Q85" s="359">
        <v>0</v>
      </c>
      <c r="R85" s="360">
        <v>0</v>
      </c>
      <c r="S85" s="360">
        <v>0</v>
      </c>
      <c r="T85" s="361"/>
      <c r="U85" s="306">
        <v>0</v>
      </c>
      <c r="V85" s="307">
        <v>0</v>
      </c>
      <c r="W85" s="306">
        <v>0</v>
      </c>
      <c r="X85" s="306">
        <v>0</v>
      </c>
      <c r="Y85" s="307">
        <v>0</v>
      </c>
      <c r="Z85" s="169"/>
      <c r="AA85" s="306">
        <v>17.989999999999998</v>
      </c>
      <c r="AB85" s="307">
        <v>17.989999999999998</v>
      </c>
    </row>
    <row r="86" spans="1:28" ht="21" hidden="1" customHeight="1" x14ac:dyDescent="0.35">
      <c r="A86" s="353"/>
      <c r="B86" s="362">
        <v>69</v>
      </c>
      <c r="C86" s="355">
        <v>0</v>
      </c>
      <c r="D86" s="356">
        <v>0</v>
      </c>
      <c r="E86" s="356">
        <v>0</v>
      </c>
      <c r="F86" s="356">
        <v>0</v>
      </c>
      <c r="G86" s="356">
        <v>0</v>
      </c>
      <c r="H86" s="356">
        <v>0</v>
      </c>
      <c r="I86" s="356">
        <v>0</v>
      </c>
      <c r="J86" s="357">
        <v>0</v>
      </c>
      <c r="K86" s="357">
        <v>0</v>
      </c>
      <c r="L86" s="357">
        <v>0</v>
      </c>
      <c r="M86" s="358">
        <v>0</v>
      </c>
      <c r="N86" s="358">
        <v>0</v>
      </c>
      <c r="O86" s="357">
        <v>0</v>
      </c>
      <c r="P86" s="358">
        <v>0</v>
      </c>
      <c r="Q86" s="359">
        <v>0</v>
      </c>
      <c r="R86" s="360">
        <v>0</v>
      </c>
      <c r="S86" s="360">
        <v>0</v>
      </c>
      <c r="T86" s="361"/>
      <c r="U86" s="306">
        <v>0</v>
      </c>
      <c r="V86" s="307">
        <v>0</v>
      </c>
      <c r="W86" s="306">
        <v>0</v>
      </c>
      <c r="X86" s="306">
        <v>0</v>
      </c>
      <c r="Y86" s="307">
        <v>0</v>
      </c>
      <c r="Z86" s="169"/>
      <c r="AA86" s="306">
        <v>17.989999999999998</v>
      </c>
      <c r="AB86" s="307">
        <v>17.989999999999998</v>
      </c>
    </row>
    <row r="87" spans="1:28" ht="21" hidden="1" customHeight="1" x14ac:dyDescent="0.35">
      <c r="A87" s="353"/>
      <c r="B87" s="362">
        <v>70</v>
      </c>
      <c r="C87" s="355">
        <v>0</v>
      </c>
      <c r="D87" s="356">
        <v>0</v>
      </c>
      <c r="E87" s="356">
        <v>0</v>
      </c>
      <c r="F87" s="356">
        <v>0</v>
      </c>
      <c r="G87" s="356">
        <v>0</v>
      </c>
      <c r="H87" s="356">
        <v>0</v>
      </c>
      <c r="I87" s="356">
        <v>0</v>
      </c>
      <c r="J87" s="357">
        <v>0</v>
      </c>
      <c r="K87" s="357">
        <v>0</v>
      </c>
      <c r="L87" s="357">
        <v>0</v>
      </c>
      <c r="M87" s="358">
        <v>0</v>
      </c>
      <c r="N87" s="358">
        <v>0</v>
      </c>
      <c r="O87" s="357">
        <v>0</v>
      </c>
      <c r="P87" s="358">
        <v>0</v>
      </c>
      <c r="Q87" s="359">
        <v>0</v>
      </c>
      <c r="R87" s="360">
        <v>0</v>
      </c>
      <c r="S87" s="360">
        <v>0</v>
      </c>
      <c r="T87" s="361"/>
      <c r="U87" s="306">
        <v>0</v>
      </c>
      <c r="V87" s="307">
        <v>0</v>
      </c>
      <c r="W87" s="306">
        <v>0</v>
      </c>
      <c r="X87" s="306">
        <v>0</v>
      </c>
      <c r="Y87" s="307">
        <v>0</v>
      </c>
      <c r="Z87" s="169"/>
      <c r="AA87" s="306">
        <v>17.989999999999998</v>
      </c>
      <c r="AB87" s="307">
        <v>17.989999999999998</v>
      </c>
    </row>
    <row r="88" spans="1:28" ht="21" hidden="1" customHeight="1" x14ac:dyDescent="0.35">
      <c r="A88" s="353"/>
      <c r="B88" s="362">
        <v>71</v>
      </c>
      <c r="C88" s="355">
        <v>0</v>
      </c>
      <c r="D88" s="356">
        <v>0</v>
      </c>
      <c r="E88" s="356">
        <v>0</v>
      </c>
      <c r="F88" s="356">
        <v>0</v>
      </c>
      <c r="G88" s="356">
        <v>0</v>
      </c>
      <c r="H88" s="356">
        <v>0</v>
      </c>
      <c r="I88" s="356">
        <v>0</v>
      </c>
      <c r="J88" s="357">
        <v>0</v>
      </c>
      <c r="K88" s="357">
        <v>0</v>
      </c>
      <c r="L88" s="357">
        <v>0</v>
      </c>
      <c r="M88" s="358">
        <v>0</v>
      </c>
      <c r="N88" s="358">
        <v>0</v>
      </c>
      <c r="O88" s="357">
        <v>0</v>
      </c>
      <c r="P88" s="358">
        <v>0</v>
      </c>
      <c r="Q88" s="359">
        <v>0</v>
      </c>
      <c r="R88" s="360">
        <v>0</v>
      </c>
      <c r="S88" s="360">
        <v>0</v>
      </c>
      <c r="T88" s="361"/>
      <c r="U88" s="306">
        <v>0</v>
      </c>
      <c r="V88" s="307">
        <v>0</v>
      </c>
      <c r="W88" s="306">
        <v>0</v>
      </c>
      <c r="X88" s="306">
        <v>0</v>
      </c>
      <c r="Y88" s="307">
        <v>0</v>
      </c>
      <c r="Z88" s="169"/>
      <c r="AA88" s="306">
        <v>17.989999999999998</v>
      </c>
      <c r="AB88" s="307">
        <v>17.989999999999998</v>
      </c>
    </row>
    <row r="89" spans="1:28" ht="21" hidden="1" customHeight="1" x14ac:dyDescent="0.35">
      <c r="A89" s="353"/>
      <c r="B89" s="362">
        <v>72</v>
      </c>
      <c r="C89" s="355">
        <v>0</v>
      </c>
      <c r="D89" s="356">
        <v>0</v>
      </c>
      <c r="E89" s="356">
        <v>0</v>
      </c>
      <c r="F89" s="356">
        <v>0</v>
      </c>
      <c r="G89" s="356">
        <v>0</v>
      </c>
      <c r="H89" s="356">
        <v>0</v>
      </c>
      <c r="I89" s="356">
        <v>0</v>
      </c>
      <c r="J89" s="357">
        <v>0</v>
      </c>
      <c r="K89" s="357">
        <v>0</v>
      </c>
      <c r="L89" s="357">
        <v>0</v>
      </c>
      <c r="M89" s="358">
        <v>0</v>
      </c>
      <c r="N89" s="358">
        <v>0</v>
      </c>
      <c r="O89" s="357">
        <v>0</v>
      </c>
      <c r="P89" s="358">
        <v>0</v>
      </c>
      <c r="Q89" s="359">
        <v>0</v>
      </c>
      <c r="R89" s="360">
        <v>0</v>
      </c>
      <c r="S89" s="360">
        <v>0</v>
      </c>
      <c r="T89" s="361"/>
      <c r="U89" s="306">
        <v>0</v>
      </c>
      <c r="V89" s="307">
        <v>0</v>
      </c>
      <c r="W89" s="306">
        <v>0</v>
      </c>
      <c r="X89" s="306">
        <v>0</v>
      </c>
      <c r="Y89" s="307">
        <v>0</v>
      </c>
      <c r="Z89" s="169"/>
      <c r="AA89" s="306">
        <v>17.989999999999998</v>
      </c>
      <c r="AB89" s="307">
        <v>17.989999999999998</v>
      </c>
    </row>
    <row r="90" spans="1:28" ht="21" hidden="1" customHeight="1" x14ac:dyDescent="0.35">
      <c r="A90" s="353"/>
      <c r="B90" s="362">
        <v>73</v>
      </c>
      <c r="C90" s="355">
        <v>0</v>
      </c>
      <c r="D90" s="356">
        <v>0</v>
      </c>
      <c r="E90" s="356">
        <v>0</v>
      </c>
      <c r="F90" s="356">
        <v>0</v>
      </c>
      <c r="G90" s="356">
        <v>0</v>
      </c>
      <c r="H90" s="356">
        <v>0</v>
      </c>
      <c r="I90" s="356">
        <v>0</v>
      </c>
      <c r="J90" s="357">
        <v>0</v>
      </c>
      <c r="K90" s="357">
        <v>0</v>
      </c>
      <c r="L90" s="357">
        <v>0</v>
      </c>
      <c r="M90" s="358">
        <v>0</v>
      </c>
      <c r="N90" s="358">
        <v>0</v>
      </c>
      <c r="O90" s="357">
        <v>0</v>
      </c>
      <c r="P90" s="358">
        <v>0</v>
      </c>
      <c r="Q90" s="359">
        <v>0</v>
      </c>
      <c r="R90" s="360">
        <v>0</v>
      </c>
      <c r="S90" s="360">
        <v>0</v>
      </c>
      <c r="T90" s="361"/>
      <c r="U90" s="306">
        <v>0</v>
      </c>
      <c r="V90" s="307">
        <v>0</v>
      </c>
      <c r="W90" s="306">
        <v>0</v>
      </c>
      <c r="X90" s="306">
        <v>0</v>
      </c>
      <c r="Y90" s="307">
        <v>0</v>
      </c>
      <c r="Z90" s="169"/>
      <c r="AA90" s="306">
        <v>17.989999999999998</v>
      </c>
      <c r="AB90" s="307">
        <v>17.989999999999998</v>
      </c>
    </row>
    <row r="91" spans="1:28" ht="21" hidden="1" customHeight="1" x14ac:dyDescent="0.35">
      <c r="A91" s="353"/>
      <c r="B91" s="362">
        <v>74</v>
      </c>
      <c r="C91" s="355">
        <v>0</v>
      </c>
      <c r="D91" s="356">
        <v>0</v>
      </c>
      <c r="E91" s="356">
        <v>0</v>
      </c>
      <c r="F91" s="356">
        <v>0</v>
      </c>
      <c r="G91" s="356">
        <v>0</v>
      </c>
      <c r="H91" s="356">
        <v>0</v>
      </c>
      <c r="I91" s="356">
        <v>0</v>
      </c>
      <c r="J91" s="357">
        <v>0</v>
      </c>
      <c r="K91" s="357">
        <v>0</v>
      </c>
      <c r="L91" s="357">
        <v>0</v>
      </c>
      <c r="M91" s="358">
        <v>0</v>
      </c>
      <c r="N91" s="358">
        <v>0</v>
      </c>
      <c r="O91" s="357">
        <v>0</v>
      </c>
      <c r="P91" s="358">
        <v>0</v>
      </c>
      <c r="Q91" s="359">
        <v>0</v>
      </c>
      <c r="R91" s="360">
        <v>0</v>
      </c>
      <c r="S91" s="360">
        <v>0</v>
      </c>
      <c r="T91" s="361"/>
      <c r="U91" s="306">
        <v>0</v>
      </c>
      <c r="V91" s="307">
        <v>0</v>
      </c>
      <c r="W91" s="306">
        <v>0</v>
      </c>
      <c r="X91" s="306">
        <v>0</v>
      </c>
      <c r="Y91" s="307">
        <v>0</v>
      </c>
      <c r="Z91" s="169"/>
      <c r="AA91" s="306">
        <v>17.989999999999998</v>
      </c>
      <c r="AB91" s="307">
        <v>17.989999999999998</v>
      </c>
    </row>
    <row r="92" spans="1:28" ht="21" hidden="1" customHeight="1" x14ac:dyDescent="0.35">
      <c r="A92" s="353"/>
      <c r="B92" s="362">
        <v>75</v>
      </c>
      <c r="C92" s="355">
        <v>0</v>
      </c>
      <c r="D92" s="356">
        <v>0</v>
      </c>
      <c r="E92" s="356">
        <v>0</v>
      </c>
      <c r="F92" s="356">
        <v>0</v>
      </c>
      <c r="G92" s="356">
        <v>0</v>
      </c>
      <c r="H92" s="356">
        <v>0</v>
      </c>
      <c r="I92" s="356">
        <v>0</v>
      </c>
      <c r="J92" s="357">
        <v>0</v>
      </c>
      <c r="K92" s="357">
        <v>0</v>
      </c>
      <c r="L92" s="357">
        <v>0</v>
      </c>
      <c r="M92" s="358">
        <v>0</v>
      </c>
      <c r="N92" s="358">
        <v>0</v>
      </c>
      <c r="O92" s="357">
        <v>0</v>
      </c>
      <c r="P92" s="358">
        <v>0</v>
      </c>
      <c r="Q92" s="359">
        <v>0</v>
      </c>
      <c r="R92" s="360">
        <v>0</v>
      </c>
      <c r="S92" s="360">
        <v>0</v>
      </c>
      <c r="T92" s="361"/>
      <c r="U92" s="306">
        <v>0</v>
      </c>
      <c r="V92" s="307">
        <v>0</v>
      </c>
      <c r="W92" s="306">
        <v>0</v>
      </c>
      <c r="X92" s="306">
        <v>0</v>
      </c>
      <c r="Y92" s="307">
        <v>0</v>
      </c>
      <c r="Z92" s="169"/>
      <c r="AA92" s="306">
        <v>17.989999999999998</v>
      </c>
      <c r="AB92" s="307">
        <v>17.989999999999998</v>
      </c>
    </row>
    <row r="93" spans="1:28" ht="21" hidden="1" customHeight="1" x14ac:dyDescent="0.35">
      <c r="A93" s="353"/>
      <c r="B93" s="362">
        <v>76</v>
      </c>
      <c r="C93" s="355">
        <v>0</v>
      </c>
      <c r="D93" s="356">
        <v>0</v>
      </c>
      <c r="E93" s="356">
        <v>0</v>
      </c>
      <c r="F93" s="356">
        <v>0</v>
      </c>
      <c r="G93" s="356">
        <v>0</v>
      </c>
      <c r="H93" s="356">
        <v>0</v>
      </c>
      <c r="I93" s="356">
        <v>0</v>
      </c>
      <c r="J93" s="357">
        <v>0</v>
      </c>
      <c r="K93" s="357">
        <v>0</v>
      </c>
      <c r="L93" s="357">
        <v>0</v>
      </c>
      <c r="M93" s="358">
        <v>0</v>
      </c>
      <c r="N93" s="358">
        <v>0</v>
      </c>
      <c r="O93" s="357">
        <v>0</v>
      </c>
      <c r="P93" s="358">
        <v>0</v>
      </c>
      <c r="Q93" s="359">
        <v>0</v>
      </c>
      <c r="R93" s="360">
        <v>0</v>
      </c>
      <c r="S93" s="360">
        <v>0</v>
      </c>
      <c r="T93" s="361"/>
      <c r="U93" s="306">
        <v>0</v>
      </c>
      <c r="V93" s="307">
        <v>0</v>
      </c>
      <c r="W93" s="306">
        <v>0</v>
      </c>
      <c r="X93" s="306">
        <v>0</v>
      </c>
      <c r="Y93" s="307">
        <v>0</v>
      </c>
      <c r="Z93" s="169"/>
      <c r="AA93" s="306">
        <v>17.989999999999998</v>
      </c>
      <c r="AB93" s="307">
        <v>17.989999999999998</v>
      </c>
    </row>
    <row r="94" spans="1:28" ht="21" hidden="1" customHeight="1" x14ac:dyDescent="0.35">
      <c r="A94" s="353"/>
      <c r="B94" s="362">
        <v>77</v>
      </c>
      <c r="C94" s="355">
        <v>0</v>
      </c>
      <c r="D94" s="356">
        <v>0</v>
      </c>
      <c r="E94" s="356">
        <v>0</v>
      </c>
      <c r="F94" s="356">
        <v>0</v>
      </c>
      <c r="G94" s="356">
        <v>0</v>
      </c>
      <c r="H94" s="356">
        <v>0</v>
      </c>
      <c r="I94" s="356">
        <v>0</v>
      </c>
      <c r="J94" s="357">
        <v>0</v>
      </c>
      <c r="K94" s="357">
        <v>0</v>
      </c>
      <c r="L94" s="357">
        <v>0</v>
      </c>
      <c r="M94" s="358">
        <v>0</v>
      </c>
      <c r="N94" s="358">
        <v>0</v>
      </c>
      <c r="O94" s="357">
        <v>0</v>
      </c>
      <c r="P94" s="358">
        <v>0</v>
      </c>
      <c r="Q94" s="359">
        <v>0</v>
      </c>
      <c r="R94" s="360">
        <v>0</v>
      </c>
      <c r="S94" s="360">
        <v>0</v>
      </c>
      <c r="T94" s="361"/>
      <c r="U94" s="306">
        <v>0</v>
      </c>
      <c r="V94" s="307">
        <v>0</v>
      </c>
      <c r="W94" s="306">
        <v>0</v>
      </c>
      <c r="X94" s="306">
        <v>0</v>
      </c>
      <c r="Y94" s="307">
        <v>0</v>
      </c>
      <c r="Z94" s="169"/>
      <c r="AA94" s="306">
        <v>17.989999999999998</v>
      </c>
      <c r="AB94" s="307">
        <v>17.989999999999998</v>
      </c>
    </row>
    <row r="95" spans="1:28" ht="21" hidden="1" customHeight="1" x14ac:dyDescent="0.35">
      <c r="A95" s="353"/>
      <c r="B95" s="362">
        <v>78</v>
      </c>
      <c r="C95" s="355">
        <v>0</v>
      </c>
      <c r="D95" s="356">
        <v>0</v>
      </c>
      <c r="E95" s="356">
        <v>0</v>
      </c>
      <c r="F95" s="356">
        <v>0</v>
      </c>
      <c r="G95" s="356">
        <v>0</v>
      </c>
      <c r="H95" s="356">
        <v>0</v>
      </c>
      <c r="I95" s="356">
        <v>0</v>
      </c>
      <c r="J95" s="357">
        <v>0</v>
      </c>
      <c r="K95" s="357">
        <v>0</v>
      </c>
      <c r="L95" s="357">
        <v>0</v>
      </c>
      <c r="M95" s="358">
        <v>0</v>
      </c>
      <c r="N95" s="358">
        <v>0</v>
      </c>
      <c r="O95" s="357">
        <v>0</v>
      </c>
      <c r="P95" s="358">
        <v>0</v>
      </c>
      <c r="Q95" s="359">
        <v>0</v>
      </c>
      <c r="R95" s="360">
        <v>0</v>
      </c>
      <c r="S95" s="360">
        <v>0</v>
      </c>
      <c r="T95" s="361"/>
      <c r="U95" s="306">
        <v>0</v>
      </c>
      <c r="V95" s="307">
        <v>0</v>
      </c>
      <c r="W95" s="306">
        <v>0</v>
      </c>
      <c r="X95" s="306">
        <v>0</v>
      </c>
      <c r="Y95" s="307">
        <v>0</v>
      </c>
      <c r="Z95" s="169"/>
      <c r="AA95" s="306">
        <v>17.989999999999998</v>
      </c>
      <c r="AB95" s="307">
        <v>17.989999999999998</v>
      </c>
    </row>
    <row r="96" spans="1:28" ht="21" hidden="1" customHeight="1" x14ac:dyDescent="0.35">
      <c r="A96" s="353"/>
      <c r="B96" s="362">
        <v>79</v>
      </c>
      <c r="C96" s="355">
        <v>0</v>
      </c>
      <c r="D96" s="356">
        <v>0</v>
      </c>
      <c r="E96" s="356">
        <v>0</v>
      </c>
      <c r="F96" s="356">
        <v>0</v>
      </c>
      <c r="G96" s="356">
        <v>0</v>
      </c>
      <c r="H96" s="356">
        <v>0</v>
      </c>
      <c r="I96" s="356">
        <v>0</v>
      </c>
      <c r="J96" s="357">
        <v>0</v>
      </c>
      <c r="K96" s="357">
        <v>0</v>
      </c>
      <c r="L96" s="357">
        <v>0</v>
      </c>
      <c r="M96" s="358">
        <v>0</v>
      </c>
      <c r="N96" s="358">
        <v>0</v>
      </c>
      <c r="O96" s="357">
        <v>0</v>
      </c>
      <c r="P96" s="358">
        <v>0</v>
      </c>
      <c r="Q96" s="359">
        <v>0</v>
      </c>
      <c r="R96" s="360">
        <v>0</v>
      </c>
      <c r="S96" s="360">
        <v>0</v>
      </c>
      <c r="T96" s="361"/>
      <c r="U96" s="306">
        <v>0</v>
      </c>
      <c r="V96" s="307">
        <v>0</v>
      </c>
      <c r="W96" s="306">
        <v>0</v>
      </c>
      <c r="X96" s="306">
        <v>0</v>
      </c>
      <c r="Y96" s="307">
        <v>0</v>
      </c>
      <c r="Z96" s="169"/>
      <c r="AA96" s="306">
        <v>17.989999999999998</v>
      </c>
      <c r="AB96" s="307">
        <v>17.989999999999998</v>
      </c>
    </row>
    <row r="97" spans="1:28" ht="21" hidden="1" customHeight="1" x14ac:dyDescent="0.35">
      <c r="A97" s="353"/>
      <c r="B97" s="362">
        <v>80</v>
      </c>
      <c r="C97" s="355">
        <v>0</v>
      </c>
      <c r="D97" s="356">
        <v>0</v>
      </c>
      <c r="E97" s="356">
        <v>0</v>
      </c>
      <c r="F97" s="356">
        <v>0</v>
      </c>
      <c r="G97" s="356">
        <v>0</v>
      </c>
      <c r="H97" s="356">
        <v>0</v>
      </c>
      <c r="I97" s="356">
        <v>0</v>
      </c>
      <c r="J97" s="357">
        <v>0</v>
      </c>
      <c r="K97" s="357">
        <v>0</v>
      </c>
      <c r="L97" s="357">
        <v>0</v>
      </c>
      <c r="M97" s="358">
        <v>0</v>
      </c>
      <c r="N97" s="358">
        <v>0</v>
      </c>
      <c r="O97" s="357">
        <v>0</v>
      </c>
      <c r="P97" s="358">
        <v>0</v>
      </c>
      <c r="Q97" s="359">
        <v>0</v>
      </c>
      <c r="R97" s="360">
        <v>0</v>
      </c>
      <c r="S97" s="360">
        <v>0</v>
      </c>
      <c r="T97" s="361"/>
      <c r="U97" s="306">
        <v>0</v>
      </c>
      <c r="V97" s="307">
        <v>0</v>
      </c>
      <c r="W97" s="306">
        <v>0</v>
      </c>
      <c r="X97" s="306">
        <v>0</v>
      </c>
      <c r="Y97" s="307">
        <v>0</v>
      </c>
      <c r="Z97" s="169"/>
      <c r="AA97" s="306">
        <v>17.989999999999998</v>
      </c>
      <c r="AB97" s="307">
        <v>17.989999999999998</v>
      </c>
    </row>
    <row r="98" spans="1:28" ht="21" hidden="1" customHeight="1" x14ac:dyDescent="0.35">
      <c r="A98" s="353"/>
      <c r="B98" s="362">
        <v>81</v>
      </c>
      <c r="C98" s="355">
        <v>0</v>
      </c>
      <c r="D98" s="356">
        <v>0</v>
      </c>
      <c r="E98" s="356">
        <v>0</v>
      </c>
      <c r="F98" s="356">
        <v>0</v>
      </c>
      <c r="G98" s="356">
        <v>0</v>
      </c>
      <c r="H98" s="356">
        <v>0</v>
      </c>
      <c r="I98" s="356">
        <v>0</v>
      </c>
      <c r="J98" s="357">
        <v>0</v>
      </c>
      <c r="K98" s="357">
        <v>0</v>
      </c>
      <c r="L98" s="357">
        <v>0</v>
      </c>
      <c r="M98" s="358">
        <v>0</v>
      </c>
      <c r="N98" s="358">
        <v>0</v>
      </c>
      <c r="O98" s="357">
        <v>0</v>
      </c>
      <c r="P98" s="358">
        <v>0</v>
      </c>
      <c r="Q98" s="359">
        <v>0</v>
      </c>
      <c r="R98" s="360">
        <v>0</v>
      </c>
      <c r="S98" s="360">
        <v>0</v>
      </c>
      <c r="T98" s="361"/>
      <c r="U98" s="306">
        <v>0</v>
      </c>
      <c r="V98" s="307">
        <v>0</v>
      </c>
      <c r="W98" s="306">
        <v>0</v>
      </c>
      <c r="X98" s="306">
        <v>0</v>
      </c>
      <c r="Y98" s="307">
        <v>0</v>
      </c>
      <c r="Z98" s="169"/>
      <c r="AA98" s="306">
        <v>17.989999999999998</v>
      </c>
      <c r="AB98" s="307">
        <v>17.989999999999998</v>
      </c>
    </row>
    <row r="99" spans="1:28" ht="21" hidden="1" customHeight="1" x14ac:dyDescent="0.35">
      <c r="A99" s="353"/>
      <c r="B99" s="362">
        <v>82</v>
      </c>
      <c r="C99" s="355">
        <v>0</v>
      </c>
      <c r="D99" s="356">
        <v>0</v>
      </c>
      <c r="E99" s="356">
        <v>0</v>
      </c>
      <c r="F99" s="356">
        <v>0</v>
      </c>
      <c r="G99" s="356">
        <v>0</v>
      </c>
      <c r="H99" s="356">
        <v>0</v>
      </c>
      <c r="I99" s="356">
        <v>0</v>
      </c>
      <c r="J99" s="357">
        <v>0</v>
      </c>
      <c r="K99" s="357">
        <v>0</v>
      </c>
      <c r="L99" s="357">
        <v>0</v>
      </c>
      <c r="M99" s="358">
        <v>0</v>
      </c>
      <c r="N99" s="358">
        <v>0</v>
      </c>
      <c r="O99" s="357">
        <v>0</v>
      </c>
      <c r="P99" s="358">
        <v>0</v>
      </c>
      <c r="Q99" s="359">
        <v>0</v>
      </c>
      <c r="R99" s="360">
        <v>0</v>
      </c>
      <c r="S99" s="360">
        <v>0</v>
      </c>
      <c r="T99" s="361"/>
      <c r="U99" s="306">
        <v>0</v>
      </c>
      <c r="V99" s="307">
        <v>0</v>
      </c>
      <c r="W99" s="306">
        <v>0</v>
      </c>
      <c r="X99" s="306">
        <v>0</v>
      </c>
      <c r="Y99" s="307">
        <v>0</v>
      </c>
      <c r="Z99" s="169"/>
      <c r="AA99" s="306">
        <v>17.989999999999998</v>
      </c>
      <c r="AB99" s="307">
        <v>17.989999999999998</v>
      </c>
    </row>
    <row r="100" spans="1:28" ht="21" hidden="1" customHeight="1" x14ac:dyDescent="0.35">
      <c r="A100" s="353"/>
      <c r="B100" s="362">
        <v>83</v>
      </c>
      <c r="C100" s="355">
        <v>0</v>
      </c>
      <c r="D100" s="356">
        <v>0</v>
      </c>
      <c r="E100" s="356">
        <v>0</v>
      </c>
      <c r="F100" s="356">
        <v>0</v>
      </c>
      <c r="G100" s="356">
        <v>0</v>
      </c>
      <c r="H100" s="356">
        <v>0</v>
      </c>
      <c r="I100" s="356">
        <v>0</v>
      </c>
      <c r="J100" s="357">
        <v>0</v>
      </c>
      <c r="K100" s="357">
        <v>0</v>
      </c>
      <c r="L100" s="357">
        <v>0</v>
      </c>
      <c r="M100" s="358">
        <v>0</v>
      </c>
      <c r="N100" s="358">
        <v>0</v>
      </c>
      <c r="O100" s="357">
        <v>0</v>
      </c>
      <c r="P100" s="358">
        <v>0</v>
      </c>
      <c r="Q100" s="359">
        <v>0</v>
      </c>
      <c r="R100" s="360">
        <v>0</v>
      </c>
      <c r="S100" s="360">
        <v>0</v>
      </c>
      <c r="T100" s="361"/>
      <c r="U100" s="306">
        <v>0</v>
      </c>
      <c r="V100" s="307">
        <v>0</v>
      </c>
      <c r="W100" s="306">
        <v>0</v>
      </c>
      <c r="X100" s="306">
        <v>0</v>
      </c>
      <c r="Y100" s="307">
        <v>0</v>
      </c>
      <c r="Z100" s="169"/>
      <c r="AA100" s="306">
        <v>17.989999999999998</v>
      </c>
      <c r="AB100" s="307">
        <v>17.989999999999998</v>
      </c>
    </row>
    <row r="101" spans="1:28" ht="21" hidden="1" customHeight="1" x14ac:dyDescent="0.35">
      <c r="A101" s="353"/>
      <c r="B101" s="362">
        <v>84</v>
      </c>
      <c r="C101" s="355">
        <v>0</v>
      </c>
      <c r="D101" s="356">
        <v>0</v>
      </c>
      <c r="E101" s="356">
        <v>0</v>
      </c>
      <c r="F101" s="356">
        <v>0</v>
      </c>
      <c r="G101" s="356">
        <v>0</v>
      </c>
      <c r="H101" s="356">
        <v>0</v>
      </c>
      <c r="I101" s="356">
        <v>0</v>
      </c>
      <c r="J101" s="357">
        <v>0</v>
      </c>
      <c r="K101" s="357">
        <v>0</v>
      </c>
      <c r="L101" s="357">
        <v>0</v>
      </c>
      <c r="M101" s="358">
        <v>0</v>
      </c>
      <c r="N101" s="358">
        <v>0</v>
      </c>
      <c r="O101" s="357">
        <v>0</v>
      </c>
      <c r="P101" s="358">
        <v>0</v>
      </c>
      <c r="Q101" s="359">
        <v>0</v>
      </c>
      <c r="R101" s="360">
        <v>0</v>
      </c>
      <c r="S101" s="360">
        <v>0</v>
      </c>
      <c r="T101" s="361"/>
      <c r="U101" s="306">
        <v>0</v>
      </c>
      <c r="V101" s="307">
        <v>0</v>
      </c>
      <c r="W101" s="306">
        <v>0</v>
      </c>
      <c r="X101" s="306">
        <v>0</v>
      </c>
      <c r="Y101" s="307">
        <v>0</v>
      </c>
      <c r="Z101" s="169"/>
      <c r="AA101" s="306">
        <v>17.989999999999998</v>
      </c>
      <c r="AB101" s="307">
        <v>17.989999999999998</v>
      </c>
    </row>
    <row r="102" spans="1:28" ht="21" hidden="1" customHeight="1" x14ac:dyDescent="0.35">
      <c r="A102" s="353"/>
      <c r="B102" s="362">
        <v>85</v>
      </c>
      <c r="C102" s="355">
        <v>0</v>
      </c>
      <c r="D102" s="356">
        <v>0</v>
      </c>
      <c r="E102" s="356">
        <v>0</v>
      </c>
      <c r="F102" s="356">
        <v>0</v>
      </c>
      <c r="G102" s="356">
        <v>0</v>
      </c>
      <c r="H102" s="356">
        <v>0</v>
      </c>
      <c r="I102" s="356">
        <v>0</v>
      </c>
      <c r="J102" s="357">
        <v>0</v>
      </c>
      <c r="K102" s="357">
        <v>0</v>
      </c>
      <c r="L102" s="357">
        <v>0</v>
      </c>
      <c r="M102" s="358">
        <v>0</v>
      </c>
      <c r="N102" s="358">
        <v>0</v>
      </c>
      <c r="O102" s="357">
        <v>0</v>
      </c>
      <c r="P102" s="358">
        <v>0</v>
      </c>
      <c r="Q102" s="359">
        <v>0</v>
      </c>
      <c r="R102" s="360">
        <v>0</v>
      </c>
      <c r="S102" s="360">
        <v>0</v>
      </c>
      <c r="T102" s="361"/>
      <c r="U102" s="306">
        <v>0</v>
      </c>
      <c r="V102" s="307">
        <v>0</v>
      </c>
      <c r="W102" s="306">
        <v>0</v>
      </c>
      <c r="X102" s="306">
        <v>0</v>
      </c>
      <c r="Y102" s="307">
        <v>0</v>
      </c>
      <c r="Z102" s="169"/>
      <c r="AA102" s="306">
        <v>17.989999999999998</v>
      </c>
      <c r="AB102" s="307">
        <v>17.989999999999998</v>
      </c>
    </row>
    <row r="103" spans="1:28" ht="21" hidden="1" customHeight="1" x14ac:dyDescent="0.35">
      <c r="A103" s="353"/>
      <c r="B103" s="362">
        <v>86</v>
      </c>
      <c r="C103" s="355">
        <v>0</v>
      </c>
      <c r="D103" s="356">
        <v>0</v>
      </c>
      <c r="E103" s="356">
        <v>0</v>
      </c>
      <c r="F103" s="356">
        <v>0</v>
      </c>
      <c r="G103" s="356">
        <v>0</v>
      </c>
      <c r="H103" s="356">
        <v>0</v>
      </c>
      <c r="I103" s="356">
        <v>0</v>
      </c>
      <c r="J103" s="357">
        <v>0</v>
      </c>
      <c r="K103" s="357">
        <v>0</v>
      </c>
      <c r="L103" s="357">
        <v>0</v>
      </c>
      <c r="M103" s="358">
        <v>0</v>
      </c>
      <c r="N103" s="358">
        <v>0</v>
      </c>
      <c r="O103" s="357">
        <v>0</v>
      </c>
      <c r="P103" s="358">
        <v>0</v>
      </c>
      <c r="Q103" s="359">
        <v>0</v>
      </c>
      <c r="R103" s="360">
        <v>0</v>
      </c>
      <c r="S103" s="360">
        <v>0</v>
      </c>
      <c r="T103" s="361"/>
      <c r="U103" s="306">
        <v>0</v>
      </c>
      <c r="V103" s="307">
        <v>0</v>
      </c>
      <c r="W103" s="306">
        <v>0</v>
      </c>
      <c r="X103" s="306">
        <v>0</v>
      </c>
      <c r="Y103" s="307">
        <v>0</v>
      </c>
      <c r="Z103" s="169"/>
      <c r="AA103" s="306">
        <v>17.989999999999998</v>
      </c>
      <c r="AB103" s="307">
        <v>17.989999999999998</v>
      </c>
    </row>
    <row r="104" spans="1:28" ht="21" hidden="1" customHeight="1" x14ac:dyDescent="0.35">
      <c r="A104" s="353"/>
      <c r="B104" s="362">
        <v>87</v>
      </c>
      <c r="C104" s="355">
        <v>0</v>
      </c>
      <c r="D104" s="356">
        <v>0</v>
      </c>
      <c r="E104" s="356">
        <v>0</v>
      </c>
      <c r="F104" s="356">
        <v>0</v>
      </c>
      <c r="G104" s="356">
        <v>0</v>
      </c>
      <c r="H104" s="356">
        <v>0</v>
      </c>
      <c r="I104" s="356">
        <v>0</v>
      </c>
      <c r="J104" s="357">
        <v>0</v>
      </c>
      <c r="K104" s="357">
        <v>0</v>
      </c>
      <c r="L104" s="357">
        <v>0</v>
      </c>
      <c r="M104" s="358">
        <v>0</v>
      </c>
      <c r="N104" s="358">
        <v>0</v>
      </c>
      <c r="O104" s="357">
        <v>0</v>
      </c>
      <c r="P104" s="358">
        <v>0</v>
      </c>
      <c r="Q104" s="359">
        <v>0</v>
      </c>
      <c r="R104" s="360">
        <v>0</v>
      </c>
      <c r="S104" s="360">
        <v>0</v>
      </c>
      <c r="T104" s="361"/>
      <c r="U104" s="306">
        <v>0</v>
      </c>
      <c r="V104" s="307">
        <v>0</v>
      </c>
      <c r="W104" s="306">
        <v>0</v>
      </c>
      <c r="X104" s="306">
        <v>0</v>
      </c>
      <c r="Y104" s="307">
        <v>0</v>
      </c>
      <c r="Z104" s="169"/>
      <c r="AA104" s="306">
        <v>17.989999999999998</v>
      </c>
      <c r="AB104" s="307">
        <v>17.989999999999998</v>
      </c>
    </row>
    <row r="105" spans="1:28" ht="21" hidden="1" customHeight="1" x14ac:dyDescent="0.35">
      <c r="A105" s="353"/>
      <c r="B105" s="362">
        <v>88</v>
      </c>
      <c r="C105" s="355">
        <v>0</v>
      </c>
      <c r="D105" s="356">
        <v>0</v>
      </c>
      <c r="E105" s="356">
        <v>0</v>
      </c>
      <c r="F105" s="356">
        <v>0</v>
      </c>
      <c r="G105" s="356">
        <v>0</v>
      </c>
      <c r="H105" s="356">
        <v>0</v>
      </c>
      <c r="I105" s="356">
        <v>0</v>
      </c>
      <c r="J105" s="357">
        <v>0</v>
      </c>
      <c r="K105" s="357">
        <v>0</v>
      </c>
      <c r="L105" s="357">
        <v>0</v>
      </c>
      <c r="M105" s="358">
        <v>0</v>
      </c>
      <c r="N105" s="358">
        <v>0</v>
      </c>
      <c r="O105" s="357">
        <v>0</v>
      </c>
      <c r="P105" s="358">
        <v>0</v>
      </c>
      <c r="Q105" s="359">
        <v>0</v>
      </c>
      <c r="R105" s="360">
        <v>0</v>
      </c>
      <c r="S105" s="360">
        <v>0</v>
      </c>
      <c r="T105" s="361"/>
      <c r="U105" s="306">
        <v>0</v>
      </c>
      <c r="V105" s="307">
        <v>0</v>
      </c>
      <c r="W105" s="306">
        <v>0</v>
      </c>
      <c r="X105" s="306">
        <v>0</v>
      </c>
      <c r="Y105" s="307">
        <v>0</v>
      </c>
      <c r="Z105" s="169"/>
      <c r="AA105" s="306">
        <v>17.989999999999998</v>
      </c>
      <c r="AB105" s="307">
        <v>17.989999999999998</v>
      </c>
    </row>
    <row r="106" spans="1:28" ht="21" hidden="1" customHeight="1" x14ac:dyDescent="0.35">
      <c r="A106" s="353"/>
      <c r="B106" s="362">
        <v>89</v>
      </c>
      <c r="C106" s="355">
        <v>0</v>
      </c>
      <c r="D106" s="356">
        <v>0</v>
      </c>
      <c r="E106" s="356">
        <v>0</v>
      </c>
      <c r="F106" s="356">
        <v>0</v>
      </c>
      <c r="G106" s="356">
        <v>0</v>
      </c>
      <c r="H106" s="356">
        <v>0</v>
      </c>
      <c r="I106" s="356">
        <v>0</v>
      </c>
      <c r="J106" s="357">
        <v>0</v>
      </c>
      <c r="K106" s="357">
        <v>0</v>
      </c>
      <c r="L106" s="357">
        <v>0</v>
      </c>
      <c r="M106" s="358">
        <v>0</v>
      </c>
      <c r="N106" s="358">
        <v>0</v>
      </c>
      <c r="O106" s="357">
        <v>0</v>
      </c>
      <c r="P106" s="358">
        <v>0</v>
      </c>
      <c r="Q106" s="359">
        <v>0</v>
      </c>
      <c r="R106" s="360">
        <v>0</v>
      </c>
      <c r="S106" s="360">
        <v>0</v>
      </c>
      <c r="T106" s="361"/>
      <c r="U106" s="306">
        <v>0</v>
      </c>
      <c r="V106" s="307">
        <v>0</v>
      </c>
      <c r="W106" s="306">
        <v>0</v>
      </c>
      <c r="X106" s="306">
        <v>0</v>
      </c>
      <c r="Y106" s="307">
        <v>0</v>
      </c>
      <c r="Z106" s="169"/>
      <c r="AA106" s="306">
        <v>17.989999999999998</v>
      </c>
      <c r="AB106" s="307">
        <v>17.989999999999998</v>
      </c>
    </row>
    <row r="107" spans="1:28" ht="21" hidden="1" customHeight="1" x14ac:dyDescent="0.35">
      <c r="A107" s="353"/>
      <c r="B107" s="362">
        <v>90</v>
      </c>
      <c r="C107" s="355">
        <v>0</v>
      </c>
      <c r="D107" s="356">
        <v>0</v>
      </c>
      <c r="E107" s="356">
        <v>0</v>
      </c>
      <c r="F107" s="356">
        <v>0</v>
      </c>
      <c r="G107" s="356">
        <v>0</v>
      </c>
      <c r="H107" s="356">
        <v>0</v>
      </c>
      <c r="I107" s="356">
        <v>0</v>
      </c>
      <c r="J107" s="357">
        <v>0</v>
      </c>
      <c r="K107" s="357">
        <v>0</v>
      </c>
      <c r="L107" s="357">
        <v>0</v>
      </c>
      <c r="M107" s="358">
        <v>0</v>
      </c>
      <c r="N107" s="358">
        <v>0</v>
      </c>
      <c r="O107" s="357">
        <v>0</v>
      </c>
      <c r="P107" s="358">
        <v>0</v>
      </c>
      <c r="Q107" s="359">
        <v>0</v>
      </c>
      <c r="R107" s="360">
        <v>0</v>
      </c>
      <c r="S107" s="360">
        <v>0</v>
      </c>
      <c r="T107" s="361"/>
      <c r="U107" s="306">
        <v>0</v>
      </c>
      <c r="V107" s="307">
        <v>0</v>
      </c>
      <c r="W107" s="306">
        <v>0</v>
      </c>
      <c r="X107" s="306">
        <v>0</v>
      </c>
      <c r="Y107" s="307">
        <v>0</v>
      </c>
      <c r="Z107" s="169"/>
      <c r="AA107" s="306">
        <v>17.989999999999998</v>
      </c>
      <c r="AB107" s="307">
        <v>17.989999999999998</v>
      </c>
    </row>
    <row r="108" spans="1:28" ht="21" hidden="1" customHeight="1" x14ac:dyDescent="0.35">
      <c r="A108" s="353"/>
      <c r="B108" s="362">
        <v>91</v>
      </c>
      <c r="C108" s="355">
        <v>0</v>
      </c>
      <c r="D108" s="356">
        <v>0</v>
      </c>
      <c r="E108" s="356">
        <v>0</v>
      </c>
      <c r="F108" s="356">
        <v>0</v>
      </c>
      <c r="G108" s="356">
        <v>0</v>
      </c>
      <c r="H108" s="356">
        <v>0</v>
      </c>
      <c r="I108" s="356">
        <v>0</v>
      </c>
      <c r="J108" s="357">
        <v>0</v>
      </c>
      <c r="K108" s="357">
        <v>0</v>
      </c>
      <c r="L108" s="357">
        <v>0</v>
      </c>
      <c r="M108" s="358">
        <v>0</v>
      </c>
      <c r="N108" s="358">
        <v>0</v>
      </c>
      <c r="O108" s="357">
        <v>0</v>
      </c>
      <c r="P108" s="358">
        <v>0</v>
      </c>
      <c r="Q108" s="359">
        <v>0</v>
      </c>
      <c r="R108" s="360">
        <v>0</v>
      </c>
      <c r="S108" s="360">
        <v>0</v>
      </c>
      <c r="T108" s="361"/>
      <c r="U108" s="306">
        <v>0</v>
      </c>
      <c r="V108" s="307">
        <v>0</v>
      </c>
      <c r="W108" s="306">
        <v>0</v>
      </c>
      <c r="X108" s="306">
        <v>0</v>
      </c>
      <c r="Y108" s="307">
        <v>0</v>
      </c>
      <c r="Z108" s="169"/>
      <c r="AA108" s="306">
        <v>17.989999999999998</v>
      </c>
      <c r="AB108" s="307">
        <v>17.989999999999998</v>
      </c>
    </row>
    <row r="109" spans="1:28" ht="21" hidden="1" customHeight="1" x14ac:dyDescent="0.35">
      <c r="A109" s="353"/>
      <c r="B109" s="362">
        <v>92</v>
      </c>
      <c r="C109" s="355">
        <v>0</v>
      </c>
      <c r="D109" s="356">
        <v>0</v>
      </c>
      <c r="E109" s="356">
        <v>0</v>
      </c>
      <c r="F109" s="356">
        <v>0</v>
      </c>
      <c r="G109" s="356">
        <v>0</v>
      </c>
      <c r="H109" s="356">
        <v>0</v>
      </c>
      <c r="I109" s="356">
        <v>0</v>
      </c>
      <c r="J109" s="357">
        <v>0</v>
      </c>
      <c r="K109" s="357">
        <v>0</v>
      </c>
      <c r="L109" s="357">
        <v>0</v>
      </c>
      <c r="M109" s="358">
        <v>0</v>
      </c>
      <c r="N109" s="358">
        <v>0</v>
      </c>
      <c r="O109" s="357">
        <v>0</v>
      </c>
      <c r="P109" s="358">
        <v>0</v>
      </c>
      <c r="Q109" s="359">
        <v>0</v>
      </c>
      <c r="R109" s="360">
        <v>0</v>
      </c>
      <c r="S109" s="360">
        <v>0</v>
      </c>
      <c r="T109" s="361"/>
      <c r="U109" s="306">
        <v>0</v>
      </c>
      <c r="V109" s="307">
        <v>0</v>
      </c>
      <c r="W109" s="306">
        <v>0</v>
      </c>
      <c r="X109" s="306">
        <v>0</v>
      </c>
      <c r="Y109" s="307">
        <v>0</v>
      </c>
      <c r="Z109" s="169"/>
      <c r="AA109" s="306">
        <v>17.989999999999998</v>
      </c>
      <c r="AB109" s="307">
        <v>17.989999999999998</v>
      </c>
    </row>
    <row r="110" spans="1:28" ht="21" hidden="1" customHeight="1" x14ac:dyDescent="0.35">
      <c r="A110" s="353"/>
      <c r="B110" s="362">
        <v>93</v>
      </c>
      <c r="C110" s="355">
        <v>0</v>
      </c>
      <c r="D110" s="356">
        <v>0</v>
      </c>
      <c r="E110" s="356">
        <v>0</v>
      </c>
      <c r="F110" s="356">
        <v>0</v>
      </c>
      <c r="G110" s="356">
        <v>0</v>
      </c>
      <c r="H110" s="356">
        <v>0</v>
      </c>
      <c r="I110" s="356">
        <v>0</v>
      </c>
      <c r="J110" s="357">
        <v>0</v>
      </c>
      <c r="K110" s="357">
        <v>0</v>
      </c>
      <c r="L110" s="357">
        <v>0</v>
      </c>
      <c r="M110" s="358">
        <v>0</v>
      </c>
      <c r="N110" s="358">
        <v>0</v>
      </c>
      <c r="O110" s="357">
        <v>0</v>
      </c>
      <c r="P110" s="358">
        <v>0</v>
      </c>
      <c r="Q110" s="359">
        <v>0</v>
      </c>
      <c r="R110" s="360">
        <v>0</v>
      </c>
      <c r="S110" s="360">
        <v>0</v>
      </c>
      <c r="T110" s="361"/>
      <c r="U110" s="306">
        <v>0</v>
      </c>
      <c r="V110" s="307">
        <v>0</v>
      </c>
      <c r="W110" s="306">
        <v>0</v>
      </c>
      <c r="X110" s="306">
        <v>0</v>
      </c>
      <c r="Y110" s="307">
        <v>0</v>
      </c>
      <c r="Z110" s="169"/>
      <c r="AA110" s="306">
        <v>17.989999999999998</v>
      </c>
      <c r="AB110" s="307">
        <v>17.989999999999998</v>
      </c>
    </row>
    <row r="111" spans="1:28" ht="21" hidden="1" customHeight="1" x14ac:dyDescent="0.35">
      <c r="A111" s="353"/>
      <c r="B111" s="362">
        <v>94</v>
      </c>
      <c r="C111" s="355">
        <v>0</v>
      </c>
      <c r="D111" s="356">
        <v>0</v>
      </c>
      <c r="E111" s="356">
        <v>0</v>
      </c>
      <c r="F111" s="356">
        <v>0</v>
      </c>
      <c r="G111" s="356">
        <v>0</v>
      </c>
      <c r="H111" s="356">
        <v>0</v>
      </c>
      <c r="I111" s="356">
        <v>0</v>
      </c>
      <c r="J111" s="357">
        <v>0</v>
      </c>
      <c r="K111" s="357">
        <v>0</v>
      </c>
      <c r="L111" s="357">
        <v>0</v>
      </c>
      <c r="M111" s="358">
        <v>0</v>
      </c>
      <c r="N111" s="358">
        <v>0</v>
      </c>
      <c r="O111" s="357">
        <v>0</v>
      </c>
      <c r="P111" s="358">
        <v>0</v>
      </c>
      <c r="Q111" s="359">
        <v>0</v>
      </c>
      <c r="R111" s="360">
        <v>0</v>
      </c>
      <c r="S111" s="360">
        <v>0</v>
      </c>
      <c r="T111" s="361"/>
      <c r="U111" s="306">
        <v>0</v>
      </c>
      <c r="V111" s="307">
        <v>0</v>
      </c>
      <c r="W111" s="306">
        <v>0</v>
      </c>
      <c r="X111" s="306">
        <v>0</v>
      </c>
      <c r="Y111" s="307">
        <v>0</v>
      </c>
      <c r="Z111" s="169"/>
      <c r="AA111" s="306">
        <v>17.989999999999998</v>
      </c>
      <c r="AB111" s="307">
        <v>17.989999999999998</v>
      </c>
    </row>
    <row r="112" spans="1:28" ht="21" hidden="1" customHeight="1" x14ac:dyDescent="0.35">
      <c r="A112" s="353"/>
      <c r="B112" s="362">
        <v>95</v>
      </c>
      <c r="C112" s="355">
        <v>0</v>
      </c>
      <c r="D112" s="356">
        <v>0</v>
      </c>
      <c r="E112" s="356">
        <v>0</v>
      </c>
      <c r="F112" s="356">
        <v>0</v>
      </c>
      <c r="G112" s="356">
        <v>0</v>
      </c>
      <c r="H112" s="356">
        <v>0</v>
      </c>
      <c r="I112" s="356">
        <v>0</v>
      </c>
      <c r="J112" s="357">
        <v>0</v>
      </c>
      <c r="K112" s="357">
        <v>0</v>
      </c>
      <c r="L112" s="357">
        <v>0</v>
      </c>
      <c r="M112" s="358">
        <v>0</v>
      </c>
      <c r="N112" s="358">
        <v>0</v>
      </c>
      <c r="O112" s="357">
        <v>0</v>
      </c>
      <c r="P112" s="358">
        <v>0</v>
      </c>
      <c r="Q112" s="359">
        <v>0</v>
      </c>
      <c r="R112" s="360">
        <v>0</v>
      </c>
      <c r="S112" s="360">
        <v>0</v>
      </c>
      <c r="T112" s="361"/>
      <c r="U112" s="306">
        <v>0</v>
      </c>
      <c r="V112" s="307">
        <v>0</v>
      </c>
      <c r="W112" s="306">
        <v>0</v>
      </c>
      <c r="X112" s="306">
        <v>0</v>
      </c>
      <c r="Y112" s="307">
        <v>0</v>
      </c>
      <c r="Z112" s="169"/>
      <c r="AA112" s="306">
        <v>17.989999999999998</v>
      </c>
      <c r="AB112" s="307">
        <v>17.989999999999998</v>
      </c>
    </row>
    <row r="113" spans="1:28" ht="21" hidden="1" customHeight="1" x14ac:dyDescent="0.35">
      <c r="A113" s="353"/>
      <c r="B113" s="362">
        <v>96</v>
      </c>
      <c r="C113" s="355">
        <v>0</v>
      </c>
      <c r="D113" s="356">
        <v>0</v>
      </c>
      <c r="E113" s="356">
        <v>0</v>
      </c>
      <c r="F113" s="356">
        <v>0</v>
      </c>
      <c r="G113" s="356">
        <v>0</v>
      </c>
      <c r="H113" s="356">
        <v>0</v>
      </c>
      <c r="I113" s="356">
        <v>0</v>
      </c>
      <c r="J113" s="357">
        <v>0</v>
      </c>
      <c r="K113" s="357">
        <v>0</v>
      </c>
      <c r="L113" s="357">
        <v>0</v>
      </c>
      <c r="M113" s="358">
        <v>0</v>
      </c>
      <c r="N113" s="358">
        <v>0</v>
      </c>
      <c r="O113" s="357">
        <v>0</v>
      </c>
      <c r="P113" s="358">
        <v>0</v>
      </c>
      <c r="Q113" s="359">
        <v>0</v>
      </c>
      <c r="R113" s="360">
        <v>0</v>
      </c>
      <c r="S113" s="360">
        <v>0</v>
      </c>
      <c r="T113" s="361"/>
      <c r="U113" s="306">
        <v>0</v>
      </c>
      <c r="V113" s="307">
        <v>0</v>
      </c>
      <c r="W113" s="306">
        <v>0</v>
      </c>
      <c r="X113" s="306">
        <v>0</v>
      </c>
      <c r="Y113" s="307">
        <v>0</v>
      </c>
      <c r="Z113" s="169"/>
      <c r="AA113" s="306">
        <v>17.989999999999998</v>
      </c>
      <c r="AB113" s="307">
        <v>17.989999999999998</v>
      </c>
    </row>
    <row r="114" spans="1:28" ht="21" hidden="1" customHeight="1" x14ac:dyDescent="0.35">
      <c r="A114" s="353"/>
      <c r="B114" s="362">
        <v>97</v>
      </c>
      <c r="C114" s="355">
        <v>0</v>
      </c>
      <c r="D114" s="356">
        <v>0</v>
      </c>
      <c r="E114" s="356">
        <v>0</v>
      </c>
      <c r="F114" s="356">
        <v>0</v>
      </c>
      <c r="G114" s="356">
        <v>0</v>
      </c>
      <c r="H114" s="356">
        <v>0</v>
      </c>
      <c r="I114" s="356">
        <v>0</v>
      </c>
      <c r="J114" s="357">
        <v>0</v>
      </c>
      <c r="K114" s="357">
        <v>0</v>
      </c>
      <c r="L114" s="357">
        <v>0</v>
      </c>
      <c r="M114" s="358">
        <v>0</v>
      </c>
      <c r="N114" s="358">
        <v>0</v>
      </c>
      <c r="O114" s="357">
        <v>0</v>
      </c>
      <c r="P114" s="358">
        <v>0</v>
      </c>
      <c r="Q114" s="359">
        <v>0</v>
      </c>
      <c r="R114" s="360">
        <v>0</v>
      </c>
      <c r="S114" s="360">
        <v>0</v>
      </c>
      <c r="T114" s="361"/>
      <c r="U114" s="306">
        <v>0</v>
      </c>
      <c r="V114" s="307">
        <v>0</v>
      </c>
      <c r="W114" s="306">
        <v>0</v>
      </c>
      <c r="X114" s="306">
        <v>0</v>
      </c>
      <c r="Y114" s="307">
        <v>0</v>
      </c>
      <c r="Z114" s="169"/>
      <c r="AA114" s="306">
        <v>17.989999999999998</v>
      </c>
      <c r="AB114" s="307">
        <v>17.989999999999998</v>
      </c>
    </row>
    <row r="115" spans="1:28" ht="21" hidden="1" customHeight="1" x14ac:dyDescent="0.35">
      <c r="A115" s="353"/>
      <c r="B115" s="362">
        <v>98</v>
      </c>
      <c r="C115" s="355">
        <v>0</v>
      </c>
      <c r="D115" s="356">
        <v>0</v>
      </c>
      <c r="E115" s="356">
        <v>0</v>
      </c>
      <c r="F115" s="356">
        <v>0</v>
      </c>
      <c r="G115" s="356">
        <v>0</v>
      </c>
      <c r="H115" s="356">
        <v>0</v>
      </c>
      <c r="I115" s="356">
        <v>0</v>
      </c>
      <c r="J115" s="357">
        <v>0</v>
      </c>
      <c r="K115" s="357">
        <v>0</v>
      </c>
      <c r="L115" s="357">
        <v>0</v>
      </c>
      <c r="M115" s="358">
        <v>0</v>
      </c>
      <c r="N115" s="358">
        <v>0</v>
      </c>
      <c r="O115" s="357">
        <v>0</v>
      </c>
      <c r="P115" s="358">
        <v>0</v>
      </c>
      <c r="Q115" s="359">
        <v>0</v>
      </c>
      <c r="R115" s="360">
        <v>0</v>
      </c>
      <c r="S115" s="360">
        <v>0</v>
      </c>
      <c r="T115" s="361"/>
      <c r="U115" s="306">
        <v>0</v>
      </c>
      <c r="V115" s="307">
        <v>0</v>
      </c>
      <c r="W115" s="306">
        <v>0</v>
      </c>
      <c r="X115" s="306">
        <v>0</v>
      </c>
      <c r="Y115" s="307">
        <v>0</v>
      </c>
      <c r="Z115" s="169"/>
      <c r="AA115" s="306">
        <v>17.989999999999998</v>
      </c>
      <c r="AB115" s="307">
        <v>17.989999999999998</v>
      </c>
    </row>
    <row r="116" spans="1:28" ht="21" hidden="1" customHeight="1" x14ac:dyDescent="0.35">
      <c r="A116" s="353"/>
      <c r="B116" s="362">
        <v>99</v>
      </c>
      <c r="C116" s="355">
        <v>0</v>
      </c>
      <c r="D116" s="356">
        <v>0</v>
      </c>
      <c r="E116" s="356">
        <v>0</v>
      </c>
      <c r="F116" s="356">
        <v>0</v>
      </c>
      <c r="G116" s="356">
        <v>0</v>
      </c>
      <c r="H116" s="356">
        <v>0</v>
      </c>
      <c r="I116" s="356">
        <v>0</v>
      </c>
      <c r="J116" s="357">
        <v>0</v>
      </c>
      <c r="K116" s="357">
        <v>0</v>
      </c>
      <c r="L116" s="357">
        <v>0</v>
      </c>
      <c r="M116" s="358">
        <v>0</v>
      </c>
      <c r="N116" s="358">
        <v>0</v>
      </c>
      <c r="O116" s="357">
        <v>0</v>
      </c>
      <c r="P116" s="358">
        <v>0</v>
      </c>
      <c r="Q116" s="359">
        <v>0</v>
      </c>
      <c r="R116" s="360">
        <v>0</v>
      </c>
      <c r="S116" s="360">
        <v>0</v>
      </c>
      <c r="T116" s="361"/>
      <c r="U116" s="306">
        <v>0</v>
      </c>
      <c r="V116" s="307">
        <v>0</v>
      </c>
      <c r="W116" s="306">
        <v>0</v>
      </c>
      <c r="X116" s="306">
        <v>0</v>
      </c>
      <c r="Y116" s="307">
        <v>0</v>
      </c>
      <c r="Z116" s="169"/>
      <c r="AA116" s="306">
        <v>17.989999999999998</v>
      </c>
      <c r="AB116" s="307">
        <v>17.989999999999998</v>
      </c>
    </row>
    <row r="117" spans="1:28" ht="21" hidden="1" customHeight="1" x14ac:dyDescent="0.35">
      <c r="A117" s="353"/>
      <c r="B117" s="362">
        <v>100</v>
      </c>
      <c r="C117" s="355">
        <v>0</v>
      </c>
      <c r="D117" s="356">
        <v>0</v>
      </c>
      <c r="E117" s="356">
        <v>0</v>
      </c>
      <c r="F117" s="356">
        <v>0</v>
      </c>
      <c r="G117" s="356">
        <v>0</v>
      </c>
      <c r="H117" s="356">
        <v>0</v>
      </c>
      <c r="I117" s="356">
        <v>0</v>
      </c>
      <c r="J117" s="357">
        <v>0</v>
      </c>
      <c r="K117" s="357">
        <v>0</v>
      </c>
      <c r="L117" s="357">
        <v>0</v>
      </c>
      <c r="M117" s="358">
        <v>0</v>
      </c>
      <c r="N117" s="358">
        <v>0</v>
      </c>
      <c r="O117" s="357">
        <v>0</v>
      </c>
      <c r="P117" s="358">
        <v>0</v>
      </c>
      <c r="Q117" s="359">
        <v>0</v>
      </c>
      <c r="R117" s="360">
        <v>0</v>
      </c>
      <c r="S117" s="360">
        <v>0</v>
      </c>
      <c r="T117" s="361"/>
      <c r="U117" s="306">
        <v>0</v>
      </c>
      <c r="V117" s="307">
        <v>0</v>
      </c>
      <c r="W117" s="306">
        <v>0</v>
      </c>
      <c r="X117" s="306">
        <v>0</v>
      </c>
      <c r="Y117" s="307">
        <v>0</v>
      </c>
      <c r="Z117" s="169"/>
      <c r="AA117" s="306">
        <v>17.989999999999998</v>
      </c>
      <c r="AB117" s="307">
        <v>17.989999999999998</v>
      </c>
    </row>
    <row r="118" spans="1:28" ht="21" hidden="1" customHeight="1" x14ac:dyDescent="0.35">
      <c r="A118" s="353"/>
      <c r="B118" s="362">
        <v>101</v>
      </c>
      <c r="C118" s="355">
        <v>0</v>
      </c>
      <c r="D118" s="356">
        <v>0</v>
      </c>
      <c r="E118" s="356">
        <v>0</v>
      </c>
      <c r="F118" s="356">
        <v>0</v>
      </c>
      <c r="G118" s="356">
        <v>0</v>
      </c>
      <c r="H118" s="356">
        <v>0</v>
      </c>
      <c r="I118" s="356">
        <v>0</v>
      </c>
      <c r="J118" s="357">
        <v>0</v>
      </c>
      <c r="K118" s="357">
        <v>0</v>
      </c>
      <c r="L118" s="357">
        <v>0</v>
      </c>
      <c r="M118" s="358">
        <v>0</v>
      </c>
      <c r="N118" s="358">
        <v>0</v>
      </c>
      <c r="O118" s="357">
        <v>0</v>
      </c>
      <c r="P118" s="358">
        <v>0</v>
      </c>
      <c r="Q118" s="359">
        <v>0</v>
      </c>
      <c r="R118" s="360">
        <v>0</v>
      </c>
      <c r="S118" s="360">
        <v>0</v>
      </c>
      <c r="T118" s="361"/>
      <c r="U118" s="306">
        <v>0</v>
      </c>
      <c r="V118" s="307">
        <v>0</v>
      </c>
      <c r="W118" s="306">
        <v>0</v>
      </c>
      <c r="X118" s="306">
        <v>0</v>
      </c>
      <c r="Y118" s="307">
        <v>0</v>
      </c>
      <c r="Z118" s="169"/>
      <c r="AA118" s="306">
        <v>17.989999999999998</v>
      </c>
      <c r="AB118" s="307">
        <v>17.989999999999998</v>
      </c>
    </row>
    <row r="119" spans="1:28" ht="21" hidden="1" customHeight="1" x14ac:dyDescent="0.35">
      <c r="A119" s="353"/>
      <c r="B119" s="362">
        <v>102</v>
      </c>
      <c r="C119" s="355">
        <v>0</v>
      </c>
      <c r="D119" s="356">
        <v>0</v>
      </c>
      <c r="E119" s="356">
        <v>0</v>
      </c>
      <c r="F119" s="356">
        <v>0</v>
      </c>
      <c r="G119" s="356">
        <v>0</v>
      </c>
      <c r="H119" s="356">
        <v>0</v>
      </c>
      <c r="I119" s="356">
        <v>0</v>
      </c>
      <c r="J119" s="357">
        <v>0</v>
      </c>
      <c r="K119" s="357">
        <v>0</v>
      </c>
      <c r="L119" s="357">
        <v>0</v>
      </c>
      <c r="M119" s="358">
        <v>0</v>
      </c>
      <c r="N119" s="358">
        <v>0</v>
      </c>
      <c r="O119" s="357">
        <v>0</v>
      </c>
      <c r="P119" s="358">
        <v>0</v>
      </c>
      <c r="Q119" s="359">
        <v>0</v>
      </c>
      <c r="R119" s="360">
        <v>0</v>
      </c>
      <c r="S119" s="360">
        <v>0</v>
      </c>
      <c r="T119" s="361"/>
      <c r="U119" s="306">
        <v>0</v>
      </c>
      <c r="V119" s="307">
        <v>0</v>
      </c>
      <c r="W119" s="306">
        <v>0</v>
      </c>
      <c r="X119" s="306">
        <v>0</v>
      </c>
      <c r="Y119" s="307">
        <v>0</v>
      </c>
      <c r="Z119" s="169"/>
      <c r="AA119" s="306">
        <v>17.989999999999998</v>
      </c>
      <c r="AB119" s="307">
        <v>17.989999999999998</v>
      </c>
    </row>
    <row r="120" spans="1:28" ht="21" hidden="1" customHeight="1" x14ac:dyDescent="0.35">
      <c r="A120" s="353"/>
      <c r="B120" s="362">
        <v>103</v>
      </c>
      <c r="C120" s="355">
        <v>0</v>
      </c>
      <c r="D120" s="356">
        <v>0</v>
      </c>
      <c r="E120" s="356">
        <v>0</v>
      </c>
      <c r="F120" s="356">
        <v>0</v>
      </c>
      <c r="G120" s="356">
        <v>0</v>
      </c>
      <c r="H120" s="356">
        <v>0</v>
      </c>
      <c r="I120" s="356">
        <v>0</v>
      </c>
      <c r="J120" s="357">
        <v>0</v>
      </c>
      <c r="K120" s="357">
        <v>0</v>
      </c>
      <c r="L120" s="357">
        <v>0</v>
      </c>
      <c r="M120" s="358">
        <v>0</v>
      </c>
      <c r="N120" s="358">
        <v>0</v>
      </c>
      <c r="O120" s="357">
        <v>0</v>
      </c>
      <c r="P120" s="358">
        <v>0</v>
      </c>
      <c r="Q120" s="359">
        <v>0</v>
      </c>
      <c r="R120" s="360">
        <v>0</v>
      </c>
      <c r="S120" s="360">
        <v>0</v>
      </c>
      <c r="T120" s="361"/>
      <c r="U120" s="306">
        <v>0</v>
      </c>
      <c r="V120" s="307">
        <v>0</v>
      </c>
      <c r="W120" s="306">
        <v>0</v>
      </c>
      <c r="X120" s="306">
        <v>0</v>
      </c>
      <c r="Y120" s="307">
        <v>0</v>
      </c>
      <c r="Z120" s="169"/>
      <c r="AA120" s="306">
        <v>17.989999999999998</v>
      </c>
      <c r="AB120" s="307">
        <v>17.989999999999998</v>
      </c>
    </row>
    <row r="121" spans="1:28" ht="21" hidden="1" customHeight="1" x14ac:dyDescent="0.35">
      <c r="A121" s="353"/>
      <c r="B121" s="362">
        <v>104</v>
      </c>
      <c r="C121" s="355">
        <v>0</v>
      </c>
      <c r="D121" s="356">
        <v>0</v>
      </c>
      <c r="E121" s="356">
        <v>0</v>
      </c>
      <c r="F121" s="356">
        <v>0</v>
      </c>
      <c r="G121" s="356">
        <v>0</v>
      </c>
      <c r="H121" s="356">
        <v>0</v>
      </c>
      <c r="I121" s="356">
        <v>0</v>
      </c>
      <c r="J121" s="357">
        <v>0</v>
      </c>
      <c r="K121" s="357">
        <v>0</v>
      </c>
      <c r="L121" s="357">
        <v>0</v>
      </c>
      <c r="M121" s="358">
        <v>0</v>
      </c>
      <c r="N121" s="358">
        <v>0</v>
      </c>
      <c r="O121" s="357">
        <v>0</v>
      </c>
      <c r="P121" s="358">
        <v>0</v>
      </c>
      <c r="Q121" s="359">
        <v>0</v>
      </c>
      <c r="R121" s="360">
        <v>0</v>
      </c>
      <c r="S121" s="360">
        <v>0</v>
      </c>
      <c r="T121" s="361"/>
      <c r="U121" s="306">
        <v>0</v>
      </c>
      <c r="V121" s="307">
        <v>0</v>
      </c>
      <c r="W121" s="306">
        <v>0</v>
      </c>
      <c r="X121" s="306">
        <v>0</v>
      </c>
      <c r="Y121" s="307">
        <v>0</v>
      </c>
      <c r="Z121" s="169"/>
      <c r="AA121" s="306">
        <v>17.989999999999998</v>
      </c>
      <c r="AB121" s="307">
        <v>17.989999999999998</v>
      </c>
    </row>
    <row r="122" spans="1:28" ht="21" hidden="1" customHeight="1" x14ac:dyDescent="0.35">
      <c r="A122" s="353"/>
      <c r="B122" s="362">
        <v>105</v>
      </c>
      <c r="C122" s="355">
        <v>0</v>
      </c>
      <c r="D122" s="356">
        <v>0</v>
      </c>
      <c r="E122" s="356">
        <v>0</v>
      </c>
      <c r="F122" s="356">
        <v>0</v>
      </c>
      <c r="G122" s="356">
        <v>0</v>
      </c>
      <c r="H122" s="356">
        <v>0</v>
      </c>
      <c r="I122" s="356">
        <v>0</v>
      </c>
      <c r="J122" s="357">
        <v>0</v>
      </c>
      <c r="K122" s="357">
        <v>0</v>
      </c>
      <c r="L122" s="357">
        <v>0</v>
      </c>
      <c r="M122" s="358">
        <v>0</v>
      </c>
      <c r="N122" s="358">
        <v>0</v>
      </c>
      <c r="O122" s="357">
        <v>0</v>
      </c>
      <c r="P122" s="358">
        <v>0</v>
      </c>
      <c r="Q122" s="359">
        <v>0</v>
      </c>
      <c r="R122" s="360">
        <v>0</v>
      </c>
      <c r="S122" s="360">
        <v>0</v>
      </c>
      <c r="T122" s="361"/>
      <c r="U122" s="306">
        <v>0</v>
      </c>
      <c r="V122" s="307">
        <v>0</v>
      </c>
      <c r="W122" s="306">
        <v>0</v>
      </c>
      <c r="X122" s="306">
        <v>0</v>
      </c>
      <c r="Y122" s="307">
        <v>0</v>
      </c>
      <c r="Z122" s="169"/>
      <c r="AA122" s="306">
        <v>17.989999999999998</v>
      </c>
      <c r="AB122" s="307">
        <v>17.989999999999998</v>
      </c>
    </row>
    <row r="123" spans="1:28" ht="21" hidden="1" customHeight="1" x14ac:dyDescent="0.35">
      <c r="A123" s="353"/>
      <c r="B123" s="362">
        <v>106</v>
      </c>
      <c r="C123" s="355">
        <v>0</v>
      </c>
      <c r="D123" s="356">
        <v>0</v>
      </c>
      <c r="E123" s="356">
        <v>0</v>
      </c>
      <c r="F123" s="356">
        <v>0</v>
      </c>
      <c r="G123" s="356">
        <v>0</v>
      </c>
      <c r="H123" s="356">
        <v>0</v>
      </c>
      <c r="I123" s="356">
        <v>0</v>
      </c>
      <c r="J123" s="357">
        <v>0</v>
      </c>
      <c r="K123" s="357">
        <v>0</v>
      </c>
      <c r="L123" s="357">
        <v>0</v>
      </c>
      <c r="M123" s="358">
        <v>0</v>
      </c>
      <c r="N123" s="358">
        <v>0</v>
      </c>
      <c r="O123" s="357">
        <v>0</v>
      </c>
      <c r="P123" s="358">
        <v>0</v>
      </c>
      <c r="Q123" s="359">
        <v>0</v>
      </c>
      <c r="R123" s="360">
        <v>0</v>
      </c>
      <c r="S123" s="360">
        <v>0</v>
      </c>
      <c r="T123" s="361"/>
      <c r="U123" s="306">
        <v>0</v>
      </c>
      <c r="V123" s="307">
        <v>0</v>
      </c>
      <c r="W123" s="306">
        <v>0</v>
      </c>
      <c r="X123" s="306">
        <v>0</v>
      </c>
      <c r="Y123" s="307">
        <v>0</v>
      </c>
      <c r="Z123" s="169"/>
      <c r="AA123" s="306">
        <v>17.989999999999998</v>
      </c>
      <c r="AB123" s="307">
        <v>17.989999999999998</v>
      </c>
    </row>
    <row r="124" spans="1:28" ht="21" hidden="1" customHeight="1" x14ac:dyDescent="0.35">
      <c r="A124" s="353"/>
      <c r="B124" s="362">
        <v>107</v>
      </c>
      <c r="C124" s="355">
        <v>0</v>
      </c>
      <c r="D124" s="356">
        <v>0</v>
      </c>
      <c r="E124" s="356">
        <v>0</v>
      </c>
      <c r="F124" s="356">
        <v>0</v>
      </c>
      <c r="G124" s="356">
        <v>0</v>
      </c>
      <c r="H124" s="356">
        <v>0</v>
      </c>
      <c r="I124" s="356">
        <v>0</v>
      </c>
      <c r="J124" s="357">
        <v>0</v>
      </c>
      <c r="K124" s="357">
        <v>0</v>
      </c>
      <c r="L124" s="357">
        <v>0</v>
      </c>
      <c r="M124" s="358">
        <v>0</v>
      </c>
      <c r="N124" s="358">
        <v>0</v>
      </c>
      <c r="O124" s="357">
        <v>0</v>
      </c>
      <c r="P124" s="358">
        <v>0</v>
      </c>
      <c r="Q124" s="359">
        <v>0</v>
      </c>
      <c r="R124" s="360">
        <v>0</v>
      </c>
      <c r="S124" s="360">
        <v>0</v>
      </c>
      <c r="T124" s="361"/>
      <c r="U124" s="306">
        <v>0</v>
      </c>
      <c r="V124" s="307">
        <v>0</v>
      </c>
      <c r="W124" s="306">
        <v>0</v>
      </c>
      <c r="X124" s="306">
        <v>0</v>
      </c>
      <c r="Y124" s="307">
        <v>0</v>
      </c>
      <c r="Z124" s="169"/>
      <c r="AA124" s="306">
        <v>17.989999999999998</v>
      </c>
      <c r="AB124" s="307">
        <v>17.989999999999998</v>
      </c>
    </row>
    <row r="125" spans="1:28" ht="21" hidden="1" customHeight="1" x14ac:dyDescent="0.35">
      <c r="A125" s="353"/>
      <c r="B125" s="362">
        <v>108</v>
      </c>
      <c r="C125" s="355">
        <v>0</v>
      </c>
      <c r="D125" s="356">
        <v>0</v>
      </c>
      <c r="E125" s="356">
        <v>0</v>
      </c>
      <c r="F125" s="356">
        <v>0</v>
      </c>
      <c r="G125" s="356">
        <v>0</v>
      </c>
      <c r="H125" s="356">
        <v>0</v>
      </c>
      <c r="I125" s="356">
        <v>0</v>
      </c>
      <c r="J125" s="357">
        <v>0</v>
      </c>
      <c r="K125" s="357">
        <v>0</v>
      </c>
      <c r="L125" s="357">
        <v>0</v>
      </c>
      <c r="M125" s="358">
        <v>0</v>
      </c>
      <c r="N125" s="358">
        <v>0</v>
      </c>
      <c r="O125" s="357">
        <v>0</v>
      </c>
      <c r="P125" s="358">
        <v>0</v>
      </c>
      <c r="Q125" s="359">
        <v>0</v>
      </c>
      <c r="R125" s="360">
        <v>0</v>
      </c>
      <c r="S125" s="360">
        <v>0</v>
      </c>
      <c r="T125" s="361"/>
      <c r="U125" s="306">
        <v>0</v>
      </c>
      <c r="V125" s="307">
        <v>0</v>
      </c>
      <c r="W125" s="306">
        <v>0</v>
      </c>
      <c r="X125" s="306">
        <v>0</v>
      </c>
      <c r="Y125" s="307">
        <v>0</v>
      </c>
      <c r="Z125" s="169"/>
      <c r="AA125" s="306">
        <v>17.989999999999998</v>
      </c>
      <c r="AB125" s="307">
        <v>17.989999999999998</v>
      </c>
    </row>
    <row r="126" spans="1:28" ht="21" hidden="1" customHeight="1" x14ac:dyDescent="0.35">
      <c r="A126" s="353"/>
      <c r="B126" s="362">
        <v>109</v>
      </c>
      <c r="C126" s="355">
        <v>0</v>
      </c>
      <c r="D126" s="356">
        <v>0</v>
      </c>
      <c r="E126" s="356">
        <v>0</v>
      </c>
      <c r="F126" s="356">
        <v>0</v>
      </c>
      <c r="G126" s="356">
        <v>0</v>
      </c>
      <c r="H126" s="356">
        <v>0</v>
      </c>
      <c r="I126" s="356">
        <v>0</v>
      </c>
      <c r="J126" s="357">
        <v>0</v>
      </c>
      <c r="K126" s="357">
        <v>0</v>
      </c>
      <c r="L126" s="357">
        <v>0</v>
      </c>
      <c r="M126" s="358">
        <v>0</v>
      </c>
      <c r="N126" s="358">
        <v>0</v>
      </c>
      <c r="O126" s="357">
        <v>0</v>
      </c>
      <c r="P126" s="358">
        <v>0</v>
      </c>
      <c r="Q126" s="359">
        <v>0</v>
      </c>
      <c r="R126" s="360">
        <v>0</v>
      </c>
      <c r="S126" s="360">
        <v>0</v>
      </c>
      <c r="T126" s="361"/>
      <c r="U126" s="306">
        <v>0</v>
      </c>
      <c r="V126" s="307">
        <v>0</v>
      </c>
      <c r="W126" s="306">
        <v>0</v>
      </c>
      <c r="X126" s="306">
        <v>0</v>
      </c>
      <c r="Y126" s="307">
        <v>0</v>
      </c>
      <c r="Z126" s="169"/>
      <c r="AA126" s="306">
        <v>17.989999999999998</v>
      </c>
      <c r="AB126" s="307">
        <v>17.989999999999998</v>
      </c>
    </row>
    <row r="127" spans="1:28" ht="21" hidden="1" customHeight="1" x14ac:dyDescent="0.35">
      <c r="A127" s="353"/>
      <c r="B127" s="362">
        <v>110</v>
      </c>
      <c r="C127" s="355">
        <v>0</v>
      </c>
      <c r="D127" s="356">
        <v>0</v>
      </c>
      <c r="E127" s="356">
        <v>0</v>
      </c>
      <c r="F127" s="356">
        <v>0</v>
      </c>
      <c r="G127" s="356">
        <v>0</v>
      </c>
      <c r="H127" s="356">
        <v>0</v>
      </c>
      <c r="I127" s="356">
        <v>0</v>
      </c>
      <c r="J127" s="357">
        <v>0</v>
      </c>
      <c r="K127" s="357">
        <v>0</v>
      </c>
      <c r="L127" s="357">
        <v>0</v>
      </c>
      <c r="M127" s="358">
        <v>0</v>
      </c>
      <c r="N127" s="358">
        <v>0</v>
      </c>
      <c r="O127" s="357">
        <v>0</v>
      </c>
      <c r="P127" s="358">
        <v>0</v>
      </c>
      <c r="Q127" s="359">
        <v>0</v>
      </c>
      <c r="R127" s="360">
        <v>0</v>
      </c>
      <c r="S127" s="360">
        <v>0</v>
      </c>
      <c r="T127" s="361"/>
      <c r="U127" s="306">
        <v>0</v>
      </c>
      <c r="V127" s="307">
        <v>0</v>
      </c>
      <c r="W127" s="306">
        <v>0</v>
      </c>
      <c r="X127" s="306">
        <v>0</v>
      </c>
      <c r="Y127" s="307">
        <v>0</v>
      </c>
      <c r="Z127" s="169"/>
      <c r="AA127" s="306">
        <v>17.989999999999998</v>
      </c>
      <c r="AB127" s="307">
        <v>17.989999999999998</v>
      </c>
    </row>
    <row r="128" spans="1:28" ht="21" hidden="1" customHeight="1" x14ac:dyDescent="0.35">
      <c r="A128" s="353"/>
      <c r="B128" s="362">
        <v>111</v>
      </c>
      <c r="C128" s="355">
        <v>0</v>
      </c>
      <c r="D128" s="356">
        <v>0</v>
      </c>
      <c r="E128" s="356">
        <v>0</v>
      </c>
      <c r="F128" s="356">
        <v>0</v>
      </c>
      <c r="G128" s="356">
        <v>0</v>
      </c>
      <c r="H128" s="356">
        <v>0</v>
      </c>
      <c r="I128" s="356">
        <v>0</v>
      </c>
      <c r="J128" s="357">
        <v>0</v>
      </c>
      <c r="K128" s="357">
        <v>0</v>
      </c>
      <c r="L128" s="357">
        <v>0</v>
      </c>
      <c r="M128" s="358">
        <v>0</v>
      </c>
      <c r="N128" s="358">
        <v>0</v>
      </c>
      <c r="O128" s="357">
        <v>0</v>
      </c>
      <c r="P128" s="358">
        <v>0</v>
      </c>
      <c r="Q128" s="359">
        <v>0</v>
      </c>
      <c r="R128" s="360">
        <v>0</v>
      </c>
      <c r="S128" s="360">
        <v>0</v>
      </c>
      <c r="T128" s="361"/>
      <c r="U128" s="306">
        <v>0</v>
      </c>
      <c r="V128" s="307">
        <v>0</v>
      </c>
      <c r="W128" s="306">
        <v>0</v>
      </c>
      <c r="X128" s="306">
        <v>0</v>
      </c>
      <c r="Y128" s="307">
        <v>0</v>
      </c>
      <c r="Z128" s="169"/>
      <c r="AA128" s="306">
        <v>17.989999999999998</v>
      </c>
      <c r="AB128" s="307">
        <v>17.989999999999998</v>
      </c>
    </row>
    <row r="129" spans="1:28" ht="21" hidden="1" customHeight="1" x14ac:dyDescent="0.35">
      <c r="A129" s="353"/>
      <c r="B129" s="362">
        <v>112</v>
      </c>
      <c r="C129" s="355">
        <v>0</v>
      </c>
      <c r="D129" s="356">
        <v>0</v>
      </c>
      <c r="E129" s="356">
        <v>0</v>
      </c>
      <c r="F129" s="356">
        <v>0</v>
      </c>
      <c r="G129" s="356">
        <v>0</v>
      </c>
      <c r="H129" s="356">
        <v>0</v>
      </c>
      <c r="I129" s="356">
        <v>0</v>
      </c>
      <c r="J129" s="357">
        <v>0</v>
      </c>
      <c r="K129" s="357">
        <v>0</v>
      </c>
      <c r="L129" s="357">
        <v>0</v>
      </c>
      <c r="M129" s="358">
        <v>0</v>
      </c>
      <c r="N129" s="358">
        <v>0</v>
      </c>
      <c r="O129" s="357">
        <v>0</v>
      </c>
      <c r="P129" s="358">
        <v>0</v>
      </c>
      <c r="Q129" s="359">
        <v>0</v>
      </c>
      <c r="R129" s="360">
        <v>0</v>
      </c>
      <c r="S129" s="360">
        <v>0</v>
      </c>
      <c r="T129" s="361"/>
      <c r="U129" s="306">
        <v>0</v>
      </c>
      <c r="V129" s="307">
        <v>0</v>
      </c>
      <c r="W129" s="306">
        <v>0</v>
      </c>
      <c r="X129" s="306">
        <v>0</v>
      </c>
      <c r="Y129" s="307">
        <v>0</v>
      </c>
      <c r="Z129" s="169"/>
      <c r="AA129" s="306">
        <v>17.989999999999998</v>
      </c>
      <c r="AB129" s="307">
        <v>17.989999999999998</v>
      </c>
    </row>
    <row r="130" spans="1:28" ht="21" hidden="1" customHeight="1" x14ac:dyDescent="0.35">
      <c r="A130" s="353"/>
      <c r="B130" s="362">
        <v>113</v>
      </c>
      <c r="C130" s="355">
        <v>0</v>
      </c>
      <c r="D130" s="356">
        <v>0</v>
      </c>
      <c r="E130" s="356">
        <v>0</v>
      </c>
      <c r="F130" s="356">
        <v>0</v>
      </c>
      <c r="G130" s="356">
        <v>0</v>
      </c>
      <c r="H130" s="356">
        <v>0</v>
      </c>
      <c r="I130" s="356">
        <v>0</v>
      </c>
      <c r="J130" s="357">
        <v>0</v>
      </c>
      <c r="K130" s="357">
        <v>0</v>
      </c>
      <c r="L130" s="357">
        <v>0</v>
      </c>
      <c r="M130" s="358">
        <v>0</v>
      </c>
      <c r="N130" s="358">
        <v>0</v>
      </c>
      <c r="O130" s="357">
        <v>0</v>
      </c>
      <c r="P130" s="358">
        <v>0</v>
      </c>
      <c r="Q130" s="359">
        <v>0</v>
      </c>
      <c r="R130" s="360">
        <v>0</v>
      </c>
      <c r="S130" s="360">
        <v>0</v>
      </c>
      <c r="T130" s="361"/>
      <c r="U130" s="306">
        <v>0</v>
      </c>
      <c r="V130" s="307">
        <v>0</v>
      </c>
      <c r="W130" s="306">
        <v>0</v>
      </c>
      <c r="X130" s="306">
        <v>0</v>
      </c>
      <c r="Y130" s="307">
        <v>0</v>
      </c>
      <c r="Z130" s="169"/>
      <c r="AA130" s="306">
        <v>17.989999999999998</v>
      </c>
      <c r="AB130" s="307">
        <v>17.989999999999998</v>
      </c>
    </row>
    <row r="131" spans="1:28" ht="21" hidden="1" customHeight="1" x14ac:dyDescent="0.35">
      <c r="A131" s="353"/>
      <c r="B131" s="362">
        <v>114</v>
      </c>
      <c r="C131" s="355">
        <v>0</v>
      </c>
      <c r="D131" s="356">
        <v>0</v>
      </c>
      <c r="E131" s="356">
        <v>0</v>
      </c>
      <c r="F131" s="356">
        <v>0</v>
      </c>
      <c r="G131" s="356">
        <v>0</v>
      </c>
      <c r="H131" s="356">
        <v>0</v>
      </c>
      <c r="I131" s="356">
        <v>0</v>
      </c>
      <c r="J131" s="357">
        <v>0</v>
      </c>
      <c r="K131" s="357">
        <v>0</v>
      </c>
      <c r="L131" s="357">
        <v>0</v>
      </c>
      <c r="M131" s="358">
        <v>0</v>
      </c>
      <c r="N131" s="358">
        <v>0</v>
      </c>
      <c r="O131" s="357">
        <v>0</v>
      </c>
      <c r="P131" s="358">
        <v>0</v>
      </c>
      <c r="Q131" s="359">
        <v>0</v>
      </c>
      <c r="R131" s="360">
        <v>0</v>
      </c>
      <c r="S131" s="360">
        <v>0</v>
      </c>
      <c r="T131" s="361"/>
      <c r="U131" s="306">
        <v>0</v>
      </c>
      <c r="V131" s="307">
        <v>0</v>
      </c>
      <c r="W131" s="306">
        <v>0</v>
      </c>
      <c r="X131" s="306">
        <v>0</v>
      </c>
      <c r="Y131" s="307">
        <v>0</v>
      </c>
      <c r="Z131" s="169"/>
      <c r="AA131" s="306">
        <v>17.989999999999998</v>
      </c>
      <c r="AB131" s="307">
        <v>17.989999999999998</v>
      </c>
    </row>
    <row r="132" spans="1:28" ht="21" hidden="1" customHeight="1" x14ac:dyDescent="0.35">
      <c r="A132" s="353"/>
      <c r="B132" s="362">
        <v>115</v>
      </c>
      <c r="C132" s="355">
        <v>0</v>
      </c>
      <c r="D132" s="356">
        <v>0</v>
      </c>
      <c r="E132" s="356">
        <v>0</v>
      </c>
      <c r="F132" s="356">
        <v>0</v>
      </c>
      <c r="G132" s="356">
        <v>0</v>
      </c>
      <c r="H132" s="356">
        <v>0</v>
      </c>
      <c r="I132" s="356">
        <v>0</v>
      </c>
      <c r="J132" s="357">
        <v>0</v>
      </c>
      <c r="K132" s="357">
        <v>0</v>
      </c>
      <c r="L132" s="357">
        <v>0</v>
      </c>
      <c r="M132" s="358">
        <v>0</v>
      </c>
      <c r="N132" s="358">
        <v>0</v>
      </c>
      <c r="O132" s="357">
        <v>0</v>
      </c>
      <c r="P132" s="358">
        <v>0</v>
      </c>
      <c r="Q132" s="359">
        <v>0</v>
      </c>
      <c r="R132" s="360">
        <v>0</v>
      </c>
      <c r="S132" s="360">
        <v>0</v>
      </c>
      <c r="T132" s="361"/>
      <c r="U132" s="306">
        <v>0</v>
      </c>
      <c r="V132" s="307">
        <v>0</v>
      </c>
      <c r="W132" s="306">
        <v>0</v>
      </c>
      <c r="X132" s="306">
        <v>0</v>
      </c>
      <c r="Y132" s="307">
        <v>0</v>
      </c>
      <c r="Z132" s="169"/>
      <c r="AA132" s="306">
        <v>17.989999999999998</v>
      </c>
      <c r="AB132" s="307">
        <v>17.989999999999998</v>
      </c>
    </row>
    <row r="133" spans="1:28" ht="21" hidden="1" customHeight="1" x14ac:dyDescent="0.35">
      <c r="A133" s="353"/>
      <c r="B133" s="362">
        <v>116</v>
      </c>
      <c r="C133" s="355">
        <v>0</v>
      </c>
      <c r="D133" s="356">
        <v>0</v>
      </c>
      <c r="E133" s="356">
        <v>0</v>
      </c>
      <c r="F133" s="356">
        <v>0</v>
      </c>
      <c r="G133" s="356">
        <v>0</v>
      </c>
      <c r="H133" s="356">
        <v>0</v>
      </c>
      <c r="I133" s="356">
        <v>0</v>
      </c>
      <c r="J133" s="357">
        <v>0</v>
      </c>
      <c r="K133" s="357">
        <v>0</v>
      </c>
      <c r="L133" s="357">
        <v>0</v>
      </c>
      <c r="M133" s="358">
        <v>0</v>
      </c>
      <c r="N133" s="358">
        <v>0</v>
      </c>
      <c r="O133" s="357">
        <v>0</v>
      </c>
      <c r="P133" s="358">
        <v>0</v>
      </c>
      <c r="Q133" s="359">
        <v>0</v>
      </c>
      <c r="R133" s="360">
        <v>0</v>
      </c>
      <c r="S133" s="360">
        <v>0</v>
      </c>
      <c r="T133" s="361"/>
      <c r="U133" s="306">
        <v>0</v>
      </c>
      <c r="V133" s="307">
        <v>0</v>
      </c>
      <c r="W133" s="306">
        <v>0</v>
      </c>
      <c r="X133" s="306">
        <v>0</v>
      </c>
      <c r="Y133" s="307">
        <v>0</v>
      </c>
      <c r="Z133" s="169"/>
      <c r="AA133" s="306">
        <v>17.989999999999998</v>
      </c>
      <c r="AB133" s="307">
        <v>17.989999999999998</v>
      </c>
    </row>
    <row r="134" spans="1:28" ht="21" hidden="1" customHeight="1" x14ac:dyDescent="0.35">
      <c r="A134" s="353"/>
      <c r="B134" s="362">
        <v>117</v>
      </c>
      <c r="C134" s="355">
        <v>0</v>
      </c>
      <c r="D134" s="356">
        <v>0</v>
      </c>
      <c r="E134" s="356">
        <v>0</v>
      </c>
      <c r="F134" s="356">
        <v>0</v>
      </c>
      <c r="G134" s="356">
        <v>0</v>
      </c>
      <c r="H134" s="356">
        <v>0</v>
      </c>
      <c r="I134" s="356">
        <v>0</v>
      </c>
      <c r="J134" s="357">
        <v>0</v>
      </c>
      <c r="K134" s="357">
        <v>0</v>
      </c>
      <c r="L134" s="357">
        <v>0</v>
      </c>
      <c r="M134" s="358">
        <v>0</v>
      </c>
      <c r="N134" s="358">
        <v>0</v>
      </c>
      <c r="O134" s="357">
        <v>0</v>
      </c>
      <c r="P134" s="358">
        <v>0</v>
      </c>
      <c r="Q134" s="359">
        <v>0</v>
      </c>
      <c r="R134" s="360">
        <v>0</v>
      </c>
      <c r="S134" s="360">
        <v>0</v>
      </c>
      <c r="T134" s="361"/>
      <c r="U134" s="306">
        <v>0</v>
      </c>
      <c r="V134" s="307">
        <v>0</v>
      </c>
      <c r="W134" s="306">
        <v>0</v>
      </c>
      <c r="X134" s="306">
        <v>0</v>
      </c>
      <c r="Y134" s="307">
        <v>0</v>
      </c>
      <c r="Z134" s="169"/>
      <c r="AA134" s="306">
        <v>17.989999999999998</v>
      </c>
      <c r="AB134" s="307">
        <v>17.989999999999998</v>
      </c>
    </row>
    <row r="135" spans="1:28" ht="21" hidden="1" customHeight="1" x14ac:dyDescent="0.35">
      <c r="A135" s="353"/>
      <c r="B135" s="362">
        <v>118</v>
      </c>
      <c r="C135" s="355">
        <v>0</v>
      </c>
      <c r="D135" s="356">
        <v>0</v>
      </c>
      <c r="E135" s="356">
        <v>0</v>
      </c>
      <c r="F135" s="356">
        <v>0</v>
      </c>
      <c r="G135" s="356">
        <v>0</v>
      </c>
      <c r="H135" s="356">
        <v>0</v>
      </c>
      <c r="I135" s="356">
        <v>0</v>
      </c>
      <c r="J135" s="357">
        <v>0</v>
      </c>
      <c r="K135" s="357">
        <v>0</v>
      </c>
      <c r="L135" s="357">
        <v>0</v>
      </c>
      <c r="M135" s="358">
        <v>0</v>
      </c>
      <c r="N135" s="358">
        <v>0</v>
      </c>
      <c r="O135" s="357">
        <v>0</v>
      </c>
      <c r="P135" s="358">
        <v>0</v>
      </c>
      <c r="Q135" s="359">
        <v>0</v>
      </c>
      <c r="R135" s="360">
        <v>0</v>
      </c>
      <c r="S135" s="360">
        <v>0</v>
      </c>
      <c r="T135" s="361"/>
      <c r="U135" s="306">
        <v>0</v>
      </c>
      <c r="V135" s="307">
        <v>0</v>
      </c>
      <c r="W135" s="306">
        <v>0</v>
      </c>
      <c r="X135" s="306">
        <v>0</v>
      </c>
      <c r="Y135" s="307">
        <v>0</v>
      </c>
      <c r="Z135" s="169"/>
      <c r="AA135" s="306">
        <v>17.989999999999998</v>
      </c>
      <c r="AB135" s="307">
        <v>17.989999999999998</v>
      </c>
    </row>
    <row r="136" spans="1:28" ht="21" hidden="1" customHeight="1" x14ac:dyDescent="0.35">
      <c r="A136" s="353"/>
      <c r="B136" s="362">
        <v>119</v>
      </c>
      <c r="C136" s="355">
        <v>0</v>
      </c>
      <c r="D136" s="356">
        <v>0</v>
      </c>
      <c r="E136" s="356">
        <v>0</v>
      </c>
      <c r="F136" s="356">
        <v>0</v>
      </c>
      <c r="G136" s="356">
        <v>0</v>
      </c>
      <c r="H136" s="356">
        <v>0</v>
      </c>
      <c r="I136" s="356">
        <v>0</v>
      </c>
      <c r="J136" s="357">
        <v>0</v>
      </c>
      <c r="K136" s="357">
        <v>0</v>
      </c>
      <c r="L136" s="357">
        <v>0</v>
      </c>
      <c r="M136" s="358">
        <v>0</v>
      </c>
      <c r="N136" s="358">
        <v>0</v>
      </c>
      <c r="O136" s="357">
        <v>0</v>
      </c>
      <c r="P136" s="358">
        <v>0</v>
      </c>
      <c r="Q136" s="359">
        <v>0</v>
      </c>
      <c r="R136" s="360">
        <v>0</v>
      </c>
      <c r="S136" s="360">
        <v>0</v>
      </c>
      <c r="T136" s="361"/>
      <c r="U136" s="306">
        <v>0</v>
      </c>
      <c r="V136" s="307">
        <v>0</v>
      </c>
      <c r="W136" s="306">
        <v>0</v>
      </c>
      <c r="X136" s="306">
        <v>0</v>
      </c>
      <c r="Y136" s="307">
        <v>0</v>
      </c>
      <c r="Z136" s="169"/>
      <c r="AA136" s="306">
        <v>17.989999999999998</v>
      </c>
      <c r="AB136" s="307">
        <v>17.989999999999998</v>
      </c>
    </row>
    <row r="137" spans="1:28" ht="21" hidden="1" customHeight="1" x14ac:dyDescent="0.35">
      <c r="A137" s="353"/>
      <c r="B137" s="362">
        <v>120</v>
      </c>
      <c r="C137" s="355">
        <v>0</v>
      </c>
      <c r="D137" s="356">
        <v>0</v>
      </c>
      <c r="E137" s="356">
        <v>0</v>
      </c>
      <c r="F137" s="356">
        <v>0</v>
      </c>
      <c r="G137" s="356">
        <v>0</v>
      </c>
      <c r="H137" s="356">
        <v>0</v>
      </c>
      <c r="I137" s="356">
        <v>0</v>
      </c>
      <c r="J137" s="357">
        <v>0</v>
      </c>
      <c r="K137" s="357">
        <v>0</v>
      </c>
      <c r="L137" s="357">
        <v>0</v>
      </c>
      <c r="M137" s="358">
        <v>0</v>
      </c>
      <c r="N137" s="358">
        <v>0</v>
      </c>
      <c r="O137" s="357">
        <v>0</v>
      </c>
      <c r="P137" s="358">
        <v>0</v>
      </c>
      <c r="Q137" s="359">
        <v>0</v>
      </c>
      <c r="R137" s="360">
        <v>0</v>
      </c>
      <c r="S137" s="360">
        <v>0</v>
      </c>
      <c r="T137" s="361"/>
      <c r="U137" s="306">
        <v>0</v>
      </c>
      <c r="V137" s="307">
        <v>0</v>
      </c>
      <c r="W137" s="306">
        <v>0</v>
      </c>
      <c r="X137" s="306">
        <v>0</v>
      </c>
      <c r="Y137" s="307">
        <v>0</v>
      </c>
      <c r="Z137" s="169"/>
      <c r="AA137" s="306">
        <v>17.989999999999998</v>
      </c>
      <c r="AB137" s="307">
        <v>17.989999999999998</v>
      </c>
    </row>
    <row r="138" spans="1:28" ht="21" hidden="1" customHeight="1" x14ac:dyDescent="0.35">
      <c r="A138" s="353"/>
      <c r="B138" s="362">
        <v>121</v>
      </c>
      <c r="C138" s="355">
        <v>0</v>
      </c>
      <c r="D138" s="356">
        <v>0</v>
      </c>
      <c r="E138" s="356">
        <v>0</v>
      </c>
      <c r="F138" s="356">
        <v>0</v>
      </c>
      <c r="G138" s="356">
        <v>0</v>
      </c>
      <c r="H138" s="356">
        <v>0</v>
      </c>
      <c r="I138" s="356">
        <v>0</v>
      </c>
      <c r="J138" s="357">
        <v>0</v>
      </c>
      <c r="K138" s="357">
        <v>0</v>
      </c>
      <c r="L138" s="357">
        <v>0</v>
      </c>
      <c r="M138" s="358">
        <v>0</v>
      </c>
      <c r="N138" s="358">
        <v>0</v>
      </c>
      <c r="O138" s="357">
        <v>0</v>
      </c>
      <c r="P138" s="358">
        <v>0</v>
      </c>
      <c r="Q138" s="359">
        <v>0</v>
      </c>
      <c r="R138" s="360">
        <v>0</v>
      </c>
      <c r="S138" s="360">
        <v>0</v>
      </c>
      <c r="T138" s="361"/>
      <c r="U138" s="306">
        <v>0</v>
      </c>
      <c r="V138" s="307">
        <v>0</v>
      </c>
      <c r="W138" s="306">
        <v>0</v>
      </c>
      <c r="X138" s="306">
        <v>0</v>
      </c>
      <c r="Y138" s="307">
        <v>0</v>
      </c>
      <c r="Z138" s="169"/>
      <c r="AA138" s="306">
        <v>17.989999999999998</v>
      </c>
      <c r="AB138" s="307">
        <v>17.989999999999998</v>
      </c>
    </row>
    <row r="139" spans="1:28" ht="21" hidden="1" customHeight="1" x14ac:dyDescent="0.35">
      <c r="A139" s="353"/>
      <c r="B139" s="362">
        <v>122</v>
      </c>
      <c r="C139" s="355">
        <v>0</v>
      </c>
      <c r="D139" s="356">
        <v>0</v>
      </c>
      <c r="E139" s="356">
        <v>0</v>
      </c>
      <c r="F139" s="356">
        <v>0</v>
      </c>
      <c r="G139" s="356">
        <v>0</v>
      </c>
      <c r="H139" s="356">
        <v>0</v>
      </c>
      <c r="I139" s="356">
        <v>0</v>
      </c>
      <c r="J139" s="357">
        <v>0</v>
      </c>
      <c r="K139" s="357">
        <v>0</v>
      </c>
      <c r="L139" s="357">
        <v>0</v>
      </c>
      <c r="M139" s="358">
        <v>0</v>
      </c>
      <c r="N139" s="358">
        <v>0</v>
      </c>
      <c r="O139" s="357">
        <v>0</v>
      </c>
      <c r="P139" s="358">
        <v>0</v>
      </c>
      <c r="Q139" s="359">
        <v>0</v>
      </c>
      <c r="R139" s="360">
        <v>0</v>
      </c>
      <c r="S139" s="360">
        <v>0</v>
      </c>
      <c r="T139" s="361"/>
      <c r="U139" s="306">
        <v>0</v>
      </c>
      <c r="V139" s="307">
        <v>0</v>
      </c>
      <c r="W139" s="306">
        <v>0</v>
      </c>
      <c r="X139" s="306">
        <v>0</v>
      </c>
      <c r="Y139" s="307">
        <v>0</v>
      </c>
      <c r="Z139" s="169"/>
      <c r="AA139" s="306">
        <v>17.989999999999998</v>
      </c>
      <c r="AB139" s="307">
        <v>17.989999999999998</v>
      </c>
    </row>
    <row r="140" spans="1:28" ht="21" hidden="1" customHeight="1" x14ac:dyDescent="0.35">
      <c r="A140" s="353"/>
      <c r="B140" s="362">
        <v>123</v>
      </c>
      <c r="C140" s="355">
        <v>0</v>
      </c>
      <c r="D140" s="356">
        <v>0</v>
      </c>
      <c r="E140" s="356">
        <v>0</v>
      </c>
      <c r="F140" s="356">
        <v>0</v>
      </c>
      <c r="G140" s="356">
        <v>0</v>
      </c>
      <c r="H140" s="356">
        <v>0</v>
      </c>
      <c r="I140" s="356">
        <v>0</v>
      </c>
      <c r="J140" s="357">
        <v>0</v>
      </c>
      <c r="K140" s="357">
        <v>0</v>
      </c>
      <c r="L140" s="357">
        <v>0</v>
      </c>
      <c r="M140" s="358">
        <v>0</v>
      </c>
      <c r="N140" s="358">
        <v>0</v>
      </c>
      <c r="O140" s="357">
        <v>0</v>
      </c>
      <c r="P140" s="358">
        <v>0</v>
      </c>
      <c r="Q140" s="359">
        <v>0</v>
      </c>
      <c r="R140" s="360">
        <v>0</v>
      </c>
      <c r="S140" s="360">
        <v>0</v>
      </c>
      <c r="T140" s="361"/>
      <c r="U140" s="306">
        <v>0</v>
      </c>
      <c r="V140" s="307">
        <v>0</v>
      </c>
      <c r="W140" s="306">
        <v>0</v>
      </c>
      <c r="X140" s="306">
        <v>0</v>
      </c>
      <c r="Y140" s="307">
        <v>0</v>
      </c>
      <c r="Z140" s="169"/>
      <c r="AA140" s="306">
        <v>17.989999999999998</v>
      </c>
      <c r="AB140" s="307">
        <v>17.989999999999998</v>
      </c>
    </row>
    <row r="141" spans="1:28" ht="21" hidden="1" customHeight="1" x14ac:dyDescent="0.35">
      <c r="A141" s="353"/>
      <c r="B141" s="362">
        <v>124</v>
      </c>
      <c r="C141" s="355">
        <v>0</v>
      </c>
      <c r="D141" s="356">
        <v>0</v>
      </c>
      <c r="E141" s="356">
        <v>0</v>
      </c>
      <c r="F141" s="356">
        <v>0</v>
      </c>
      <c r="G141" s="356">
        <v>0</v>
      </c>
      <c r="H141" s="356">
        <v>0</v>
      </c>
      <c r="I141" s="356">
        <v>0</v>
      </c>
      <c r="J141" s="357">
        <v>0</v>
      </c>
      <c r="K141" s="357">
        <v>0</v>
      </c>
      <c r="L141" s="357">
        <v>0</v>
      </c>
      <c r="M141" s="358">
        <v>0</v>
      </c>
      <c r="N141" s="358">
        <v>0</v>
      </c>
      <c r="O141" s="357">
        <v>0</v>
      </c>
      <c r="P141" s="358">
        <v>0</v>
      </c>
      <c r="Q141" s="359">
        <v>0</v>
      </c>
      <c r="R141" s="360">
        <v>0</v>
      </c>
      <c r="S141" s="360">
        <v>0</v>
      </c>
      <c r="T141" s="361"/>
      <c r="U141" s="306">
        <v>0</v>
      </c>
      <c r="V141" s="307">
        <v>0</v>
      </c>
      <c r="W141" s="306">
        <v>0</v>
      </c>
      <c r="X141" s="306">
        <v>0</v>
      </c>
      <c r="Y141" s="307">
        <v>0</v>
      </c>
      <c r="Z141" s="169"/>
      <c r="AA141" s="306">
        <v>17.989999999999998</v>
      </c>
      <c r="AB141" s="307">
        <v>17.989999999999998</v>
      </c>
    </row>
    <row r="142" spans="1:28" ht="21" hidden="1" customHeight="1" x14ac:dyDescent="0.35">
      <c r="A142" s="353"/>
      <c r="B142" s="362">
        <v>125</v>
      </c>
      <c r="C142" s="355">
        <v>0</v>
      </c>
      <c r="D142" s="356">
        <v>0</v>
      </c>
      <c r="E142" s="356">
        <v>0</v>
      </c>
      <c r="F142" s="356">
        <v>0</v>
      </c>
      <c r="G142" s="356">
        <v>0</v>
      </c>
      <c r="H142" s="356">
        <v>0</v>
      </c>
      <c r="I142" s="356">
        <v>0</v>
      </c>
      <c r="J142" s="357">
        <v>0</v>
      </c>
      <c r="K142" s="357">
        <v>0</v>
      </c>
      <c r="L142" s="357">
        <v>0</v>
      </c>
      <c r="M142" s="358">
        <v>0</v>
      </c>
      <c r="N142" s="358">
        <v>0</v>
      </c>
      <c r="O142" s="357">
        <v>0</v>
      </c>
      <c r="P142" s="358">
        <v>0</v>
      </c>
      <c r="Q142" s="359">
        <v>0</v>
      </c>
      <c r="R142" s="360">
        <v>0</v>
      </c>
      <c r="S142" s="360">
        <v>0</v>
      </c>
      <c r="T142" s="361"/>
      <c r="U142" s="306">
        <v>0</v>
      </c>
      <c r="V142" s="307">
        <v>0</v>
      </c>
      <c r="W142" s="306">
        <v>0</v>
      </c>
      <c r="X142" s="306">
        <v>0</v>
      </c>
      <c r="Y142" s="307">
        <v>0</v>
      </c>
      <c r="Z142" s="169"/>
      <c r="AA142" s="306">
        <v>17.989999999999998</v>
      </c>
      <c r="AB142" s="307">
        <v>17.989999999999998</v>
      </c>
    </row>
    <row r="143" spans="1:28" ht="21" hidden="1" customHeight="1" x14ac:dyDescent="0.35">
      <c r="A143" s="353"/>
      <c r="B143" s="362">
        <v>126</v>
      </c>
      <c r="C143" s="355">
        <v>0</v>
      </c>
      <c r="D143" s="356">
        <v>0</v>
      </c>
      <c r="E143" s="356">
        <v>0</v>
      </c>
      <c r="F143" s="356">
        <v>0</v>
      </c>
      <c r="G143" s="356">
        <v>0</v>
      </c>
      <c r="H143" s="356">
        <v>0</v>
      </c>
      <c r="I143" s="356">
        <v>0</v>
      </c>
      <c r="J143" s="357">
        <v>0</v>
      </c>
      <c r="K143" s="357">
        <v>0</v>
      </c>
      <c r="L143" s="357">
        <v>0</v>
      </c>
      <c r="M143" s="358">
        <v>0</v>
      </c>
      <c r="N143" s="358">
        <v>0</v>
      </c>
      <c r="O143" s="357">
        <v>0</v>
      </c>
      <c r="P143" s="358">
        <v>0</v>
      </c>
      <c r="Q143" s="359">
        <v>0</v>
      </c>
      <c r="R143" s="360">
        <v>0</v>
      </c>
      <c r="S143" s="360">
        <v>0</v>
      </c>
      <c r="T143" s="361"/>
      <c r="U143" s="306">
        <v>0</v>
      </c>
      <c r="V143" s="307">
        <v>0</v>
      </c>
      <c r="W143" s="306">
        <v>0</v>
      </c>
      <c r="X143" s="306">
        <v>0</v>
      </c>
      <c r="Y143" s="307">
        <v>0</v>
      </c>
      <c r="Z143" s="169"/>
      <c r="AA143" s="306">
        <v>17.989999999999998</v>
      </c>
      <c r="AB143" s="307">
        <v>17.989999999999998</v>
      </c>
    </row>
    <row r="144" spans="1:28" ht="21" hidden="1" customHeight="1" x14ac:dyDescent="0.35">
      <c r="A144" s="353"/>
      <c r="B144" s="362">
        <v>127</v>
      </c>
      <c r="C144" s="355">
        <v>0</v>
      </c>
      <c r="D144" s="356">
        <v>0</v>
      </c>
      <c r="E144" s="356">
        <v>0</v>
      </c>
      <c r="F144" s="356">
        <v>0</v>
      </c>
      <c r="G144" s="356">
        <v>0</v>
      </c>
      <c r="H144" s="356">
        <v>0</v>
      </c>
      <c r="I144" s="356">
        <v>0</v>
      </c>
      <c r="J144" s="357">
        <v>0</v>
      </c>
      <c r="K144" s="357">
        <v>0</v>
      </c>
      <c r="L144" s="357">
        <v>0</v>
      </c>
      <c r="M144" s="358">
        <v>0</v>
      </c>
      <c r="N144" s="358">
        <v>0</v>
      </c>
      <c r="O144" s="357">
        <v>0</v>
      </c>
      <c r="P144" s="358">
        <v>0</v>
      </c>
      <c r="Q144" s="359">
        <v>0</v>
      </c>
      <c r="R144" s="360">
        <v>0</v>
      </c>
      <c r="S144" s="360">
        <v>0</v>
      </c>
      <c r="T144" s="361"/>
      <c r="U144" s="306">
        <v>0</v>
      </c>
      <c r="V144" s="307">
        <v>0</v>
      </c>
      <c r="W144" s="306">
        <v>0</v>
      </c>
      <c r="X144" s="306">
        <v>0</v>
      </c>
      <c r="Y144" s="307">
        <v>0</v>
      </c>
      <c r="Z144" s="169"/>
      <c r="AA144" s="306">
        <v>17.989999999999998</v>
      </c>
      <c r="AB144" s="307">
        <v>17.989999999999998</v>
      </c>
    </row>
    <row r="145" spans="1:28" ht="21" hidden="1" customHeight="1" x14ac:dyDescent="0.35">
      <c r="A145" s="353"/>
      <c r="B145" s="362">
        <v>128</v>
      </c>
      <c r="C145" s="355">
        <v>0</v>
      </c>
      <c r="D145" s="356">
        <v>0</v>
      </c>
      <c r="E145" s="356">
        <v>0</v>
      </c>
      <c r="F145" s="356">
        <v>0</v>
      </c>
      <c r="G145" s="356">
        <v>0</v>
      </c>
      <c r="H145" s="356">
        <v>0</v>
      </c>
      <c r="I145" s="356">
        <v>0</v>
      </c>
      <c r="J145" s="357">
        <v>0</v>
      </c>
      <c r="K145" s="357">
        <v>0</v>
      </c>
      <c r="L145" s="357">
        <v>0</v>
      </c>
      <c r="M145" s="358">
        <v>0</v>
      </c>
      <c r="N145" s="358">
        <v>0</v>
      </c>
      <c r="O145" s="357">
        <v>0</v>
      </c>
      <c r="P145" s="358">
        <v>0</v>
      </c>
      <c r="Q145" s="359">
        <v>0</v>
      </c>
      <c r="R145" s="360">
        <v>0</v>
      </c>
      <c r="S145" s="360">
        <v>0</v>
      </c>
      <c r="T145" s="361"/>
      <c r="U145" s="306">
        <v>0</v>
      </c>
      <c r="V145" s="307">
        <v>0</v>
      </c>
      <c r="W145" s="306">
        <v>0</v>
      </c>
      <c r="X145" s="306">
        <v>0</v>
      </c>
      <c r="Y145" s="307">
        <v>0</v>
      </c>
      <c r="Z145" s="169"/>
      <c r="AA145" s="306">
        <v>17.989999999999998</v>
      </c>
      <c r="AB145" s="307">
        <v>17.989999999999998</v>
      </c>
    </row>
    <row r="146" spans="1:28" ht="21" hidden="1" customHeight="1" x14ac:dyDescent="0.35">
      <c r="A146" s="353"/>
      <c r="B146" s="362">
        <v>129</v>
      </c>
      <c r="C146" s="355">
        <v>0</v>
      </c>
      <c r="D146" s="356">
        <v>0</v>
      </c>
      <c r="E146" s="356">
        <v>0</v>
      </c>
      <c r="F146" s="356">
        <v>0</v>
      </c>
      <c r="G146" s="356">
        <v>0</v>
      </c>
      <c r="H146" s="356">
        <v>0</v>
      </c>
      <c r="I146" s="356">
        <v>0</v>
      </c>
      <c r="J146" s="357">
        <v>0</v>
      </c>
      <c r="K146" s="357">
        <v>0</v>
      </c>
      <c r="L146" s="357">
        <v>0</v>
      </c>
      <c r="M146" s="358">
        <v>0</v>
      </c>
      <c r="N146" s="358">
        <v>0</v>
      </c>
      <c r="O146" s="357">
        <v>0</v>
      </c>
      <c r="P146" s="358">
        <v>0</v>
      </c>
      <c r="Q146" s="359">
        <v>0</v>
      </c>
      <c r="R146" s="360">
        <v>0</v>
      </c>
      <c r="S146" s="360">
        <v>0</v>
      </c>
      <c r="T146" s="361"/>
      <c r="U146" s="306">
        <v>0</v>
      </c>
      <c r="V146" s="307">
        <v>0</v>
      </c>
      <c r="W146" s="306">
        <v>0</v>
      </c>
      <c r="X146" s="306">
        <v>0</v>
      </c>
      <c r="Y146" s="307">
        <v>0</v>
      </c>
      <c r="Z146" s="169"/>
      <c r="AA146" s="306">
        <v>17.989999999999998</v>
      </c>
      <c r="AB146" s="307">
        <v>17.989999999999998</v>
      </c>
    </row>
    <row r="147" spans="1:28" ht="21" hidden="1" customHeight="1" x14ac:dyDescent="0.35">
      <c r="A147" s="353"/>
      <c r="B147" s="362">
        <v>130</v>
      </c>
      <c r="C147" s="355">
        <v>0</v>
      </c>
      <c r="D147" s="356">
        <v>0</v>
      </c>
      <c r="E147" s="356">
        <v>0</v>
      </c>
      <c r="F147" s="356">
        <v>0</v>
      </c>
      <c r="G147" s="356">
        <v>0</v>
      </c>
      <c r="H147" s="356">
        <v>0</v>
      </c>
      <c r="I147" s="356">
        <v>0</v>
      </c>
      <c r="J147" s="357">
        <v>0</v>
      </c>
      <c r="K147" s="357">
        <v>0</v>
      </c>
      <c r="L147" s="357">
        <v>0</v>
      </c>
      <c r="M147" s="358">
        <v>0</v>
      </c>
      <c r="N147" s="358">
        <v>0</v>
      </c>
      <c r="O147" s="357">
        <v>0</v>
      </c>
      <c r="P147" s="358">
        <v>0</v>
      </c>
      <c r="Q147" s="359">
        <v>0</v>
      </c>
      <c r="R147" s="360">
        <v>0</v>
      </c>
      <c r="S147" s="360">
        <v>0</v>
      </c>
      <c r="T147" s="361"/>
      <c r="U147" s="306">
        <v>0</v>
      </c>
      <c r="V147" s="307">
        <v>0</v>
      </c>
      <c r="W147" s="306">
        <v>0</v>
      </c>
      <c r="X147" s="306">
        <v>0</v>
      </c>
      <c r="Y147" s="307">
        <v>0</v>
      </c>
      <c r="Z147" s="169"/>
      <c r="AA147" s="306">
        <v>17.989999999999998</v>
      </c>
      <c r="AB147" s="307">
        <v>17.989999999999998</v>
      </c>
    </row>
    <row r="148" spans="1:28" ht="21" hidden="1" customHeight="1" x14ac:dyDescent="0.35">
      <c r="A148" s="353"/>
      <c r="B148" s="362">
        <v>131</v>
      </c>
      <c r="C148" s="355">
        <v>0</v>
      </c>
      <c r="D148" s="356">
        <v>0</v>
      </c>
      <c r="E148" s="356">
        <v>0</v>
      </c>
      <c r="F148" s="356">
        <v>0</v>
      </c>
      <c r="G148" s="356">
        <v>0</v>
      </c>
      <c r="H148" s="356">
        <v>0</v>
      </c>
      <c r="I148" s="356">
        <v>0</v>
      </c>
      <c r="J148" s="357">
        <v>0</v>
      </c>
      <c r="K148" s="357">
        <v>0</v>
      </c>
      <c r="L148" s="357">
        <v>0</v>
      </c>
      <c r="M148" s="358">
        <v>0</v>
      </c>
      <c r="N148" s="358">
        <v>0</v>
      </c>
      <c r="O148" s="357">
        <v>0</v>
      </c>
      <c r="P148" s="358">
        <v>0</v>
      </c>
      <c r="Q148" s="359">
        <v>0</v>
      </c>
      <c r="R148" s="360">
        <v>0</v>
      </c>
      <c r="S148" s="360">
        <v>0</v>
      </c>
      <c r="T148" s="361"/>
      <c r="U148" s="306">
        <v>0</v>
      </c>
      <c r="V148" s="307">
        <v>0</v>
      </c>
      <c r="W148" s="306">
        <v>0</v>
      </c>
      <c r="X148" s="306">
        <v>0</v>
      </c>
      <c r="Y148" s="307">
        <v>0</v>
      </c>
      <c r="Z148" s="169"/>
      <c r="AA148" s="306">
        <v>17.989999999999998</v>
      </c>
      <c r="AB148" s="307">
        <v>17.989999999999998</v>
      </c>
    </row>
    <row r="149" spans="1:28" ht="21" hidden="1" customHeight="1" x14ac:dyDescent="0.35">
      <c r="A149" s="353"/>
      <c r="B149" s="362">
        <v>132</v>
      </c>
      <c r="C149" s="355">
        <v>0</v>
      </c>
      <c r="D149" s="356">
        <v>0</v>
      </c>
      <c r="E149" s="356">
        <v>0</v>
      </c>
      <c r="F149" s="356">
        <v>0</v>
      </c>
      <c r="G149" s="356">
        <v>0</v>
      </c>
      <c r="H149" s="356">
        <v>0</v>
      </c>
      <c r="I149" s="356">
        <v>0</v>
      </c>
      <c r="J149" s="357">
        <v>0</v>
      </c>
      <c r="K149" s="357">
        <v>0</v>
      </c>
      <c r="L149" s="357">
        <v>0</v>
      </c>
      <c r="M149" s="358">
        <v>0</v>
      </c>
      <c r="N149" s="358">
        <v>0</v>
      </c>
      <c r="O149" s="357">
        <v>0</v>
      </c>
      <c r="P149" s="358">
        <v>0</v>
      </c>
      <c r="Q149" s="359">
        <v>0</v>
      </c>
      <c r="R149" s="360">
        <v>0</v>
      </c>
      <c r="S149" s="360">
        <v>0</v>
      </c>
      <c r="T149" s="361"/>
      <c r="U149" s="306">
        <v>0</v>
      </c>
      <c r="V149" s="307">
        <v>0</v>
      </c>
      <c r="W149" s="306">
        <v>0</v>
      </c>
      <c r="X149" s="306">
        <v>0</v>
      </c>
      <c r="Y149" s="307">
        <v>0</v>
      </c>
      <c r="Z149" s="169"/>
      <c r="AA149" s="306">
        <v>17.989999999999998</v>
      </c>
      <c r="AB149" s="307">
        <v>17.989999999999998</v>
      </c>
    </row>
    <row r="150" spans="1:28" ht="21" hidden="1" customHeight="1" x14ac:dyDescent="0.35">
      <c r="A150" s="353"/>
      <c r="B150" s="362">
        <v>133</v>
      </c>
      <c r="C150" s="355">
        <v>0</v>
      </c>
      <c r="D150" s="356">
        <v>0</v>
      </c>
      <c r="E150" s="356">
        <v>0</v>
      </c>
      <c r="F150" s="356">
        <v>0</v>
      </c>
      <c r="G150" s="356">
        <v>0</v>
      </c>
      <c r="H150" s="356">
        <v>0</v>
      </c>
      <c r="I150" s="356">
        <v>0</v>
      </c>
      <c r="J150" s="357">
        <v>0</v>
      </c>
      <c r="K150" s="357">
        <v>0</v>
      </c>
      <c r="L150" s="357">
        <v>0</v>
      </c>
      <c r="M150" s="358">
        <v>0</v>
      </c>
      <c r="N150" s="358">
        <v>0</v>
      </c>
      <c r="O150" s="357">
        <v>0</v>
      </c>
      <c r="P150" s="358">
        <v>0</v>
      </c>
      <c r="Q150" s="359">
        <v>0</v>
      </c>
      <c r="R150" s="360">
        <v>0</v>
      </c>
      <c r="S150" s="360">
        <v>0</v>
      </c>
      <c r="T150" s="361"/>
      <c r="U150" s="306">
        <v>0</v>
      </c>
      <c r="V150" s="307">
        <v>0</v>
      </c>
      <c r="W150" s="306">
        <v>0</v>
      </c>
      <c r="X150" s="306">
        <v>0</v>
      </c>
      <c r="Y150" s="307">
        <v>0</v>
      </c>
      <c r="Z150" s="169"/>
      <c r="AA150" s="306">
        <v>17.989999999999998</v>
      </c>
      <c r="AB150" s="307">
        <v>17.989999999999998</v>
      </c>
    </row>
    <row r="151" spans="1:28" ht="21" hidden="1" customHeight="1" x14ac:dyDescent="0.35">
      <c r="A151" s="353"/>
      <c r="B151" s="362">
        <v>134</v>
      </c>
      <c r="C151" s="355">
        <v>0</v>
      </c>
      <c r="D151" s="356">
        <v>0</v>
      </c>
      <c r="E151" s="356">
        <v>0</v>
      </c>
      <c r="F151" s="356">
        <v>0</v>
      </c>
      <c r="G151" s="356">
        <v>0</v>
      </c>
      <c r="H151" s="356">
        <v>0</v>
      </c>
      <c r="I151" s="356">
        <v>0</v>
      </c>
      <c r="J151" s="357">
        <v>0</v>
      </c>
      <c r="K151" s="357">
        <v>0</v>
      </c>
      <c r="L151" s="357">
        <v>0</v>
      </c>
      <c r="M151" s="358">
        <v>0</v>
      </c>
      <c r="N151" s="358">
        <v>0</v>
      </c>
      <c r="O151" s="357">
        <v>0</v>
      </c>
      <c r="P151" s="358">
        <v>0</v>
      </c>
      <c r="Q151" s="359">
        <v>0</v>
      </c>
      <c r="R151" s="360">
        <v>0</v>
      </c>
      <c r="S151" s="360">
        <v>0</v>
      </c>
      <c r="T151" s="361"/>
      <c r="U151" s="306">
        <v>0</v>
      </c>
      <c r="V151" s="307">
        <v>0</v>
      </c>
      <c r="W151" s="306">
        <v>0</v>
      </c>
      <c r="X151" s="306">
        <v>0</v>
      </c>
      <c r="Y151" s="307">
        <v>0</v>
      </c>
      <c r="Z151" s="169"/>
      <c r="AA151" s="306">
        <v>17.989999999999998</v>
      </c>
      <c r="AB151" s="307">
        <v>17.989999999999998</v>
      </c>
    </row>
    <row r="152" spans="1:28" ht="21" hidden="1" customHeight="1" x14ac:dyDescent="0.35">
      <c r="A152" s="353"/>
      <c r="B152" s="362">
        <v>135</v>
      </c>
      <c r="C152" s="355">
        <v>0</v>
      </c>
      <c r="D152" s="356">
        <v>0</v>
      </c>
      <c r="E152" s="356">
        <v>0</v>
      </c>
      <c r="F152" s="356">
        <v>0</v>
      </c>
      <c r="G152" s="356">
        <v>0</v>
      </c>
      <c r="H152" s="356">
        <v>0</v>
      </c>
      <c r="I152" s="356">
        <v>0</v>
      </c>
      <c r="J152" s="357">
        <v>0</v>
      </c>
      <c r="K152" s="357">
        <v>0</v>
      </c>
      <c r="L152" s="357">
        <v>0</v>
      </c>
      <c r="M152" s="358">
        <v>0</v>
      </c>
      <c r="N152" s="358">
        <v>0</v>
      </c>
      <c r="O152" s="357">
        <v>0</v>
      </c>
      <c r="P152" s="358">
        <v>0</v>
      </c>
      <c r="Q152" s="359">
        <v>0</v>
      </c>
      <c r="R152" s="360">
        <v>0</v>
      </c>
      <c r="S152" s="360">
        <v>0</v>
      </c>
      <c r="T152" s="361"/>
      <c r="U152" s="306">
        <v>0</v>
      </c>
      <c r="V152" s="307">
        <v>0</v>
      </c>
      <c r="W152" s="306">
        <v>0</v>
      </c>
      <c r="X152" s="306">
        <v>0</v>
      </c>
      <c r="Y152" s="307">
        <v>0</v>
      </c>
      <c r="Z152" s="169"/>
      <c r="AA152" s="306">
        <v>17.989999999999998</v>
      </c>
      <c r="AB152" s="307">
        <v>17.989999999999998</v>
      </c>
    </row>
    <row r="153" spans="1:28" ht="21" hidden="1" customHeight="1" x14ac:dyDescent="0.35">
      <c r="A153" s="353"/>
      <c r="B153" s="362">
        <v>136</v>
      </c>
      <c r="C153" s="355">
        <v>0</v>
      </c>
      <c r="D153" s="356">
        <v>0</v>
      </c>
      <c r="E153" s="356">
        <v>0</v>
      </c>
      <c r="F153" s="356">
        <v>0</v>
      </c>
      <c r="G153" s="356">
        <v>0</v>
      </c>
      <c r="H153" s="356">
        <v>0</v>
      </c>
      <c r="I153" s="356">
        <v>0</v>
      </c>
      <c r="J153" s="357">
        <v>0</v>
      </c>
      <c r="K153" s="357">
        <v>0</v>
      </c>
      <c r="L153" s="357">
        <v>0</v>
      </c>
      <c r="M153" s="358">
        <v>0</v>
      </c>
      <c r="N153" s="358">
        <v>0</v>
      </c>
      <c r="O153" s="357">
        <v>0</v>
      </c>
      <c r="P153" s="358">
        <v>0</v>
      </c>
      <c r="Q153" s="359">
        <v>0</v>
      </c>
      <c r="R153" s="360">
        <v>0</v>
      </c>
      <c r="S153" s="360">
        <v>0</v>
      </c>
      <c r="T153" s="361"/>
      <c r="U153" s="306">
        <v>0</v>
      </c>
      <c r="V153" s="307">
        <v>0</v>
      </c>
      <c r="W153" s="306">
        <v>0</v>
      </c>
      <c r="X153" s="306">
        <v>0</v>
      </c>
      <c r="Y153" s="307">
        <v>0</v>
      </c>
      <c r="Z153" s="169"/>
      <c r="AA153" s="306">
        <v>17.989999999999998</v>
      </c>
      <c r="AB153" s="307">
        <v>17.989999999999998</v>
      </c>
    </row>
    <row r="154" spans="1:28" ht="21" hidden="1" customHeight="1" x14ac:dyDescent="0.35">
      <c r="A154" s="353"/>
      <c r="B154" s="362">
        <v>137</v>
      </c>
      <c r="C154" s="355">
        <v>0</v>
      </c>
      <c r="D154" s="356">
        <v>0</v>
      </c>
      <c r="E154" s="356">
        <v>0</v>
      </c>
      <c r="F154" s="356">
        <v>0</v>
      </c>
      <c r="G154" s="356">
        <v>0</v>
      </c>
      <c r="H154" s="356">
        <v>0</v>
      </c>
      <c r="I154" s="356">
        <v>0</v>
      </c>
      <c r="J154" s="357">
        <v>0</v>
      </c>
      <c r="K154" s="357">
        <v>0</v>
      </c>
      <c r="L154" s="357">
        <v>0</v>
      </c>
      <c r="M154" s="358">
        <v>0</v>
      </c>
      <c r="N154" s="358">
        <v>0</v>
      </c>
      <c r="O154" s="357">
        <v>0</v>
      </c>
      <c r="P154" s="358">
        <v>0</v>
      </c>
      <c r="Q154" s="359">
        <v>0</v>
      </c>
      <c r="R154" s="360">
        <v>0</v>
      </c>
      <c r="S154" s="360">
        <v>0</v>
      </c>
      <c r="T154" s="361"/>
      <c r="U154" s="306">
        <v>0</v>
      </c>
      <c r="V154" s="307">
        <v>0</v>
      </c>
      <c r="W154" s="306">
        <v>0</v>
      </c>
      <c r="X154" s="306">
        <v>0</v>
      </c>
      <c r="Y154" s="307">
        <v>0</v>
      </c>
      <c r="Z154" s="169"/>
      <c r="AA154" s="306">
        <v>17.989999999999998</v>
      </c>
      <c r="AB154" s="307">
        <v>17.989999999999998</v>
      </c>
    </row>
    <row r="155" spans="1:28" ht="21" hidden="1" customHeight="1" x14ac:dyDescent="0.35">
      <c r="A155" s="353"/>
      <c r="B155" s="362">
        <v>138</v>
      </c>
      <c r="C155" s="355">
        <v>0</v>
      </c>
      <c r="D155" s="356">
        <v>0</v>
      </c>
      <c r="E155" s="356">
        <v>0</v>
      </c>
      <c r="F155" s="356">
        <v>0</v>
      </c>
      <c r="G155" s="356">
        <v>0</v>
      </c>
      <c r="H155" s="356">
        <v>0</v>
      </c>
      <c r="I155" s="356">
        <v>0</v>
      </c>
      <c r="J155" s="357">
        <v>0</v>
      </c>
      <c r="K155" s="357">
        <v>0</v>
      </c>
      <c r="L155" s="357">
        <v>0</v>
      </c>
      <c r="M155" s="358">
        <v>0</v>
      </c>
      <c r="N155" s="358">
        <v>0</v>
      </c>
      <c r="O155" s="357">
        <v>0</v>
      </c>
      <c r="P155" s="358">
        <v>0</v>
      </c>
      <c r="Q155" s="359">
        <v>0</v>
      </c>
      <c r="R155" s="360">
        <v>0</v>
      </c>
      <c r="S155" s="360">
        <v>0</v>
      </c>
      <c r="T155" s="361"/>
      <c r="U155" s="306">
        <v>0</v>
      </c>
      <c r="V155" s="307">
        <v>0</v>
      </c>
      <c r="W155" s="306">
        <v>0</v>
      </c>
      <c r="X155" s="306">
        <v>0</v>
      </c>
      <c r="Y155" s="307">
        <v>0</v>
      </c>
      <c r="Z155" s="169"/>
      <c r="AA155" s="306">
        <v>17.989999999999998</v>
      </c>
      <c r="AB155" s="307">
        <v>17.989999999999998</v>
      </c>
    </row>
    <row r="156" spans="1:28" ht="21" hidden="1" customHeight="1" x14ac:dyDescent="0.35">
      <c r="A156" s="353"/>
      <c r="B156" s="362">
        <v>139</v>
      </c>
      <c r="C156" s="355">
        <v>0</v>
      </c>
      <c r="D156" s="356">
        <v>0</v>
      </c>
      <c r="E156" s="356">
        <v>0</v>
      </c>
      <c r="F156" s="356">
        <v>0</v>
      </c>
      <c r="G156" s="356">
        <v>0</v>
      </c>
      <c r="H156" s="356">
        <v>0</v>
      </c>
      <c r="I156" s="356">
        <v>0</v>
      </c>
      <c r="J156" s="357">
        <v>0</v>
      </c>
      <c r="K156" s="357">
        <v>0</v>
      </c>
      <c r="L156" s="357">
        <v>0</v>
      </c>
      <c r="M156" s="358">
        <v>0</v>
      </c>
      <c r="N156" s="358">
        <v>0</v>
      </c>
      <c r="O156" s="357">
        <v>0</v>
      </c>
      <c r="P156" s="358">
        <v>0</v>
      </c>
      <c r="Q156" s="359">
        <v>0</v>
      </c>
      <c r="R156" s="360">
        <v>0</v>
      </c>
      <c r="S156" s="360">
        <v>0</v>
      </c>
      <c r="T156" s="361"/>
      <c r="U156" s="306">
        <v>0</v>
      </c>
      <c r="V156" s="307">
        <v>0</v>
      </c>
      <c r="W156" s="306">
        <v>0</v>
      </c>
      <c r="X156" s="306">
        <v>0</v>
      </c>
      <c r="Y156" s="307">
        <v>0</v>
      </c>
      <c r="Z156" s="169"/>
      <c r="AA156" s="306">
        <v>17.989999999999998</v>
      </c>
      <c r="AB156" s="307">
        <v>17.989999999999998</v>
      </c>
    </row>
    <row r="157" spans="1:28" ht="21" hidden="1" customHeight="1" x14ac:dyDescent="0.35">
      <c r="A157" s="353"/>
      <c r="B157" s="362">
        <v>140</v>
      </c>
      <c r="C157" s="355">
        <v>0</v>
      </c>
      <c r="D157" s="356">
        <v>0</v>
      </c>
      <c r="E157" s="356">
        <v>0</v>
      </c>
      <c r="F157" s="356">
        <v>0</v>
      </c>
      <c r="G157" s="356">
        <v>0</v>
      </c>
      <c r="H157" s="356">
        <v>0</v>
      </c>
      <c r="I157" s="356">
        <v>0</v>
      </c>
      <c r="J157" s="357">
        <v>0</v>
      </c>
      <c r="K157" s="357">
        <v>0</v>
      </c>
      <c r="L157" s="357">
        <v>0</v>
      </c>
      <c r="M157" s="358">
        <v>0</v>
      </c>
      <c r="N157" s="358">
        <v>0</v>
      </c>
      <c r="O157" s="357">
        <v>0</v>
      </c>
      <c r="P157" s="358">
        <v>0</v>
      </c>
      <c r="Q157" s="359">
        <v>0</v>
      </c>
      <c r="R157" s="360">
        <v>0</v>
      </c>
      <c r="S157" s="360">
        <v>0</v>
      </c>
      <c r="T157" s="361"/>
      <c r="U157" s="306">
        <v>0</v>
      </c>
      <c r="V157" s="307">
        <v>0</v>
      </c>
      <c r="W157" s="306">
        <v>0</v>
      </c>
      <c r="X157" s="306">
        <v>0</v>
      </c>
      <c r="Y157" s="307">
        <v>0</v>
      </c>
      <c r="Z157" s="169"/>
      <c r="AA157" s="306">
        <v>17.989999999999998</v>
      </c>
      <c r="AB157" s="307">
        <v>17.989999999999998</v>
      </c>
    </row>
    <row r="158" spans="1:28" ht="21" hidden="1" customHeight="1" x14ac:dyDescent="0.35">
      <c r="A158" s="353"/>
      <c r="B158" s="362">
        <v>141</v>
      </c>
      <c r="C158" s="355">
        <v>0</v>
      </c>
      <c r="D158" s="356">
        <v>0</v>
      </c>
      <c r="E158" s="356">
        <v>0</v>
      </c>
      <c r="F158" s="356">
        <v>0</v>
      </c>
      <c r="G158" s="356">
        <v>0</v>
      </c>
      <c r="H158" s="356">
        <v>0</v>
      </c>
      <c r="I158" s="356">
        <v>0</v>
      </c>
      <c r="J158" s="357">
        <v>0</v>
      </c>
      <c r="K158" s="357">
        <v>0</v>
      </c>
      <c r="L158" s="357">
        <v>0</v>
      </c>
      <c r="M158" s="358">
        <v>0</v>
      </c>
      <c r="N158" s="358">
        <v>0</v>
      </c>
      <c r="O158" s="357">
        <v>0</v>
      </c>
      <c r="P158" s="358">
        <v>0</v>
      </c>
      <c r="Q158" s="359">
        <v>0</v>
      </c>
      <c r="R158" s="360">
        <v>0</v>
      </c>
      <c r="S158" s="360">
        <v>0</v>
      </c>
      <c r="T158" s="361"/>
      <c r="U158" s="306">
        <v>0</v>
      </c>
      <c r="V158" s="307">
        <v>0</v>
      </c>
      <c r="W158" s="306">
        <v>0</v>
      </c>
      <c r="X158" s="306">
        <v>0</v>
      </c>
      <c r="Y158" s="307">
        <v>0</v>
      </c>
      <c r="Z158" s="169"/>
      <c r="AA158" s="306">
        <v>17.989999999999998</v>
      </c>
      <c r="AB158" s="307">
        <v>17.989999999999998</v>
      </c>
    </row>
    <row r="159" spans="1:28" ht="21" hidden="1" customHeight="1" x14ac:dyDescent="0.35">
      <c r="A159" s="353"/>
      <c r="B159" s="362">
        <v>142</v>
      </c>
      <c r="C159" s="355">
        <v>0</v>
      </c>
      <c r="D159" s="356">
        <v>0</v>
      </c>
      <c r="E159" s="356">
        <v>0</v>
      </c>
      <c r="F159" s="356">
        <v>0</v>
      </c>
      <c r="G159" s="356">
        <v>0</v>
      </c>
      <c r="H159" s="356">
        <v>0</v>
      </c>
      <c r="I159" s="356">
        <v>0</v>
      </c>
      <c r="J159" s="357">
        <v>0</v>
      </c>
      <c r="K159" s="357">
        <v>0</v>
      </c>
      <c r="L159" s="357">
        <v>0</v>
      </c>
      <c r="M159" s="358">
        <v>0</v>
      </c>
      <c r="N159" s="358">
        <v>0</v>
      </c>
      <c r="O159" s="357">
        <v>0</v>
      </c>
      <c r="P159" s="358">
        <v>0</v>
      </c>
      <c r="Q159" s="359">
        <v>0</v>
      </c>
      <c r="R159" s="360">
        <v>0</v>
      </c>
      <c r="S159" s="360">
        <v>0</v>
      </c>
      <c r="T159" s="361"/>
      <c r="U159" s="306">
        <v>0</v>
      </c>
      <c r="V159" s="307">
        <v>0</v>
      </c>
      <c r="W159" s="306">
        <v>0</v>
      </c>
      <c r="X159" s="306">
        <v>0</v>
      </c>
      <c r="Y159" s="307">
        <v>0</v>
      </c>
      <c r="Z159" s="169"/>
      <c r="AA159" s="306">
        <v>17.989999999999998</v>
      </c>
      <c r="AB159" s="307">
        <v>17.989999999999998</v>
      </c>
    </row>
    <row r="160" spans="1:28" ht="21" hidden="1" customHeight="1" x14ac:dyDescent="0.35">
      <c r="A160" s="353"/>
      <c r="B160" s="362">
        <v>143</v>
      </c>
      <c r="C160" s="355">
        <v>0</v>
      </c>
      <c r="D160" s="356">
        <v>0</v>
      </c>
      <c r="E160" s="356">
        <v>0</v>
      </c>
      <c r="F160" s="356">
        <v>0</v>
      </c>
      <c r="G160" s="356">
        <v>0</v>
      </c>
      <c r="H160" s="356">
        <v>0</v>
      </c>
      <c r="I160" s="356">
        <v>0</v>
      </c>
      <c r="J160" s="357">
        <v>0</v>
      </c>
      <c r="K160" s="357">
        <v>0</v>
      </c>
      <c r="L160" s="357">
        <v>0</v>
      </c>
      <c r="M160" s="358">
        <v>0</v>
      </c>
      <c r="N160" s="358">
        <v>0</v>
      </c>
      <c r="O160" s="357">
        <v>0</v>
      </c>
      <c r="P160" s="358">
        <v>0</v>
      </c>
      <c r="Q160" s="359">
        <v>0</v>
      </c>
      <c r="R160" s="360">
        <v>0</v>
      </c>
      <c r="S160" s="360">
        <v>0</v>
      </c>
      <c r="T160" s="361"/>
      <c r="U160" s="306">
        <v>0</v>
      </c>
      <c r="V160" s="307">
        <v>0</v>
      </c>
      <c r="W160" s="306">
        <v>0</v>
      </c>
      <c r="X160" s="306">
        <v>0</v>
      </c>
      <c r="Y160" s="307">
        <v>0</v>
      </c>
      <c r="Z160" s="169"/>
      <c r="AA160" s="306">
        <v>17.989999999999998</v>
      </c>
      <c r="AB160" s="307">
        <v>17.989999999999998</v>
      </c>
    </row>
    <row r="161" spans="1:28" ht="21" hidden="1" customHeight="1" x14ac:dyDescent="0.35">
      <c r="A161" s="353"/>
      <c r="B161" s="362">
        <v>144</v>
      </c>
      <c r="C161" s="355">
        <v>0</v>
      </c>
      <c r="D161" s="356">
        <v>0</v>
      </c>
      <c r="E161" s="356">
        <v>0</v>
      </c>
      <c r="F161" s="356">
        <v>0</v>
      </c>
      <c r="G161" s="356">
        <v>0</v>
      </c>
      <c r="H161" s="356">
        <v>0</v>
      </c>
      <c r="I161" s="356">
        <v>0</v>
      </c>
      <c r="J161" s="357">
        <v>0</v>
      </c>
      <c r="K161" s="357">
        <v>0</v>
      </c>
      <c r="L161" s="357">
        <v>0</v>
      </c>
      <c r="M161" s="358">
        <v>0</v>
      </c>
      <c r="N161" s="358">
        <v>0</v>
      </c>
      <c r="O161" s="357">
        <v>0</v>
      </c>
      <c r="P161" s="358">
        <v>0</v>
      </c>
      <c r="Q161" s="359">
        <v>0</v>
      </c>
      <c r="R161" s="360">
        <v>0</v>
      </c>
      <c r="S161" s="360">
        <v>0</v>
      </c>
      <c r="T161" s="361"/>
      <c r="U161" s="306">
        <v>0</v>
      </c>
      <c r="V161" s="307">
        <v>0</v>
      </c>
      <c r="W161" s="306">
        <v>0</v>
      </c>
      <c r="X161" s="306">
        <v>0</v>
      </c>
      <c r="Y161" s="307">
        <v>0</v>
      </c>
      <c r="Z161" s="169"/>
      <c r="AA161" s="306">
        <v>17.989999999999998</v>
      </c>
      <c r="AB161" s="307">
        <v>17.989999999999998</v>
      </c>
    </row>
    <row r="162" spans="1:28" ht="21" hidden="1" customHeight="1" x14ac:dyDescent="0.35">
      <c r="A162" s="353"/>
      <c r="B162" s="362">
        <v>145</v>
      </c>
      <c r="C162" s="355">
        <v>0</v>
      </c>
      <c r="D162" s="356">
        <v>0</v>
      </c>
      <c r="E162" s="356">
        <v>0</v>
      </c>
      <c r="F162" s="356">
        <v>0</v>
      </c>
      <c r="G162" s="356">
        <v>0</v>
      </c>
      <c r="H162" s="356">
        <v>0</v>
      </c>
      <c r="I162" s="356">
        <v>0</v>
      </c>
      <c r="J162" s="357">
        <v>0</v>
      </c>
      <c r="K162" s="357">
        <v>0</v>
      </c>
      <c r="L162" s="357">
        <v>0</v>
      </c>
      <c r="M162" s="358">
        <v>0</v>
      </c>
      <c r="N162" s="358">
        <v>0</v>
      </c>
      <c r="O162" s="357">
        <v>0</v>
      </c>
      <c r="P162" s="358">
        <v>0</v>
      </c>
      <c r="Q162" s="359">
        <v>0</v>
      </c>
      <c r="R162" s="360">
        <v>0</v>
      </c>
      <c r="S162" s="360">
        <v>0</v>
      </c>
      <c r="T162" s="361"/>
      <c r="U162" s="306">
        <v>0</v>
      </c>
      <c r="V162" s="307">
        <v>0</v>
      </c>
      <c r="W162" s="306">
        <v>0</v>
      </c>
      <c r="X162" s="306">
        <v>0</v>
      </c>
      <c r="Y162" s="307">
        <v>0</v>
      </c>
      <c r="Z162" s="169"/>
      <c r="AA162" s="306">
        <v>17.989999999999998</v>
      </c>
      <c r="AB162" s="307">
        <v>17.989999999999998</v>
      </c>
    </row>
    <row r="163" spans="1:28" ht="21" hidden="1" customHeight="1" x14ac:dyDescent="0.35">
      <c r="A163" s="353"/>
      <c r="B163" s="362">
        <v>146</v>
      </c>
      <c r="C163" s="355">
        <v>0</v>
      </c>
      <c r="D163" s="356">
        <v>0</v>
      </c>
      <c r="E163" s="356">
        <v>0</v>
      </c>
      <c r="F163" s="356">
        <v>0</v>
      </c>
      <c r="G163" s="356">
        <v>0</v>
      </c>
      <c r="H163" s="356">
        <v>0</v>
      </c>
      <c r="I163" s="356">
        <v>0</v>
      </c>
      <c r="J163" s="357">
        <v>0</v>
      </c>
      <c r="K163" s="357">
        <v>0</v>
      </c>
      <c r="L163" s="357">
        <v>0</v>
      </c>
      <c r="M163" s="358">
        <v>0</v>
      </c>
      <c r="N163" s="358">
        <v>0</v>
      </c>
      <c r="O163" s="357">
        <v>0</v>
      </c>
      <c r="P163" s="358">
        <v>0</v>
      </c>
      <c r="Q163" s="359">
        <v>0</v>
      </c>
      <c r="R163" s="360">
        <v>0</v>
      </c>
      <c r="S163" s="360">
        <v>0</v>
      </c>
      <c r="T163" s="361"/>
      <c r="U163" s="306">
        <v>0</v>
      </c>
      <c r="V163" s="307">
        <v>0</v>
      </c>
      <c r="W163" s="306">
        <v>0</v>
      </c>
      <c r="X163" s="306">
        <v>0</v>
      </c>
      <c r="Y163" s="307">
        <v>0</v>
      </c>
      <c r="Z163" s="169"/>
      <c r="AA163" s="306">
        <v>17.989999999999998</v>
      </c>
      <c r="AB163" s="307">
        <v>17.989999999999998</v>
      </c>
    </row>
    <row r="164" spans="1:28" ht="21" hidden="1" customHeight="1" x14ac:dyDescent="0.35">
      <c r="A164" s="353"/>
      <c r="B164" s="362">
        <v>147</v>
      </c>
      <c r="C164" s="355">
        <v>0</v>
      </c>
      <c r="D164" s="356">
        <v>0</v>
      </c>
      <c r="E164" s="356">
        <v>0</v>
      </c>
      <c r="F164" s="356">
        <v>0</v>
      </c>
      <c r="G164" s="356">
        <v>0</v>
      </c>
      <c r="H164" s="356">
        <v>0</v>
      </c>
      <c r="I164" s="356">
        <v>0</v>
      </c>
      <c r="J164" s="357">
        <v>0</v>
      </c>
      <c r="K164" s="357">
        <v>0</v>
      </c>
      <c r="L164" s="357">
        <v>0</v>
      </c>
      <c r="M164" s="358">
        <v>0</v>
      </c>
      <c r="N164" s="358">
        <v>0</v>
      </c>
      <c r="O164" s="357">
        <v>0</v>
      </c>
      <c r="P164" s="358">
        <v>0</v>
      </c>
      <c r="Q164" s="359">
        <v>0</v>
      </c>
      <c r="R164" s="360">
        <v>0</v>
      </c>
      <c r="S164" s="360">
        <v>0</v>
      </c>
      <c r="T164" s="361"/>
      <c r="U164" s="306">
        <v>0</v>
      </c>
      <c r="V164" s="307">
        <v>0</v>
      </c>
      <c r="W164" s="306">
        <v>0</v>
      </c>
      <c r="X164" s="306">
        <v>0</v>
      </c>
      <c r="Y164" s="307">
        <v>0</v>
      </c>
      <c r="Z164" s="169"/>
      <c r="AA164" s="306">
        <v>17.989999999999998</v>
      </c>
      <c r="AB164" s="307">
        <v>17.989999999999998</v>
      </c>
    </row>
    <row r="165" spans="1:28" ht="21" hidden="1" customHeight="1" x14ac:dyDescent="0.35">
      <c r="A165" s="353"/>
      <c r="B165" s="362">
        <v>148</v>
      </c>
      <c r="C165" s="355">
        <v>0</v>
      </c>
      <c r="D165" s="356">
        <v>0</v>
      </c>
      <c r="E165" s="356">
        <v>0</v>
      </c>
      <c r="F165" s="356">
        <v>0</v>
      </c>
      <c r="G165" s="356">
        <v>0</v>
      </c>
      <c r="H165" s="356">
        <v>0</v>
      </c>
      <c r="I165" s="356">
        <v>0</v>
      </c>
      <c r="J165" s="357">
        <v>0</v>
      </c>
      <c r="K165" s="357">
        <v>0</v>
      </c>
      <c r="L165" s="357">
        <v>0</v>
      </c>
      <c r="M165" s="358">
        <v>0</v>
      </c>
      <c r="N165" s="358">
        <v>0</v>
      </c>
      <c r="O165" s="357">
        <v>0</v>
      </c>
      <c r="P165" s="358">
        <v>0</v>
      </c>
      <c r="Q165" s="359">
        <v>0</v>
      </c>
      <c r="R165" s="360">
        <v>0</v>
      </c>
      <c r="S165" s="360">
        <v>0</v>
      </c>
      <c r="T165" s="361"/>
      <c r="U165" s="306">
        <v>0</v>
      </c>
      <c r="V165" s="307">
        <v>0</v>
      </c>
      <c r="W165" s="306">
        <v>0</v>
      </c>
      <c r="X165" s="306">
        <v>0</v>
      </c>
      <c r="Y165" s="307">
        <v>0</v>
      </c>
      <c r="Z165" s="169"/>
      <c r="AA165" s="306">
        <v>17.989999999999998</v>
      </c>
      <c r="AB165" s="307">
        <v>17.989999999999998</v>
      </c>
    </row>
    <row r="166" spans="1:28" ht="21" hidden="1" customHeight="1" x14ac:dyDescent="0.35">
      <c r="A166" s="353"/>
      <c r="B166" s="362">
        <v>149</v>
      </c>
      <c r="C166" s="355">
        <v>0</v>
      </c>
      <c r="D166" s="356">
        <v>0</v>
      </c>
      <c r="E166" s="356">
        <v>0</v>
      </c>
      <c r="F166" s="356">
        <v>0</v>
      </c>
      <c r="G166" s="356">
        <v>0</v>
      </c>
      <c r="H166" s="356">
        <v>0</v>
      </c>
      <c r="I166" s="356">
        <v>0</v>
      </c>
      <c r="J166" s="357">
        <v>0</v>
      </c>
      <c r="K166" s="357">
        <v>0</v>
      </c>
      <c r="L166" s="357">
        <v>0</v>
      </c>
      <c r="M166" s="358">
        <v>0</v>
      </c>
      <c r="N166" s="358">
        <v>0</v>
      </c>
      <c r="O166" s="357">
        <v>0</v>
      </c>
      <c r="P166" s="358">
        <v>0</v>
      </c>
      <c r="Q166" s="359">
        <v>0</v>
      </c>
      <c r="R166" s="360">
        <v>0</v>
      </c>
      <c r="S166" s="360">
        <v>0</v>
      </c>
      <c r="T166" s="361"/>
      <c r="U166" s="306">
        <v>0</v>
      </c>
      <c r="V166" s="307">
        <v>0</v>
      </c>
      <c r="W166" s="306">
        <v>0</v>
      </c>
      <c r="X166" s="306">
        <v>0</v>
      </c>
      <c r="Y166" s="307">
        <v>0</v>
      </c>
      <c r="Z166" s="169"/>
      <c r="AA166" s="306">
        <v>17.989999999999998</v>
      </c>
      <c r="AB166" s="307">
        <v>17.989999999999998</v>
      </c>
    </row>
    <row r="167" spans="1:28" ht="21" hidden="1" customHeight="1" x14ac:dyDescent="0.35">
      <c r="A167" s="353"/>
      <c r="B167" s="362">
        <v>150</v>
      </c>
      <c r="C167" s="355">
        <v>0</v>
      </c>
      <c r="D167" s="356">
        <v>0</v>
      </c>
      <c r="E167" s="356">
        <v>0</v>
      </c>
      <c r="F167" s="356">
        <v>0</v>
      </c>
      <c r="G167" s="356">
        <v>0</v>
      </c>
      <c r="H167" s="356">
        <v>0</v>
      </c>
      <c r="I167" s="356">
        <v>0</v>
      </c>
      <c r="J167" s="357">
        <v>0</v>
      </c>
      <c r="K167" s="357">
        <v>0</v>
      </c>
      <c r="L167" s="357">
        <v>0</v>
      </c>
      <c r="M167" s="358">
        <v>0</v>
      </c>
      <c r="N167" s="358">
        <v>0</v>
      </c>
      <c r="O167" s="357">
        <v>0</v>
      </c>
      <c r="P167" s="358">
        <v>0</v>
      </c>
      <c r="Q167" s="359">
        <v>0</v>
      </c>
      <c r="R167" s="360">
        <v>0</v>
      </c>
      <c r="S167" s="360">
        <v>0</v>
      </c>
      <c r="T167" s="361"/>
      <c r="U167" s="306">
        <v>0</v>
      </c>
      <c r="V167" s="307">
        <v>0</v>
      </c>
      <c r="W167" s="306">
        <v>0</v>
      </c>
      <c r="X167" s="306">
        <v>0</v>
      </c>
      <c r="Y167" s="307">
        <v>0</v>
      </c>
      <c r="Z167" s="169"/>
      <c r="AA167" s="306">
        <v>17.989999999999998</v>
      </c>
      <c r="AB167" s="307">
        <v>17.989999999999998</v>
      </c>
    </row>
    <row r="168" spans="1:28" ht="21" hidden="1" customHeight="1" x14ac:dyDescent="0.35">
      <c r="A168" s="353"/>
      <c r="B168" s="362">
        <v>151</v>
      </c>
      <c r="C168" s="355">
        <v>0</v>
      </c>
      <c r="D168" s="356">
        <v>0</v>
      </c>
      <c r="E168" s="356">
        <v>0</v>
      </c>
      <c r="F168" s="356">
        <v>0</v>
      </c>
      <c r="G168" s="356">
        <v>0</v>
      </c>
      <c r="H168" s="356">
        <v>0</v>
      </c>
      <c r="I168" s="356">
        <v>0</v>
      </c>
      <c r="J168" s="357">
        <v>0</v>
      </c>
      <c r="K168" s="357">
        <v>0</v>
      </c>
      <c r="L168" s="357">
        <v>0</v>
      </c>
      <c r="M168" s="358">
        <v>0</v>
      </c>
      <c r="N168" s="358">
        <v>0</v>
      </c>
      <c r="O168" s="357">
        <v>0</v>
      </c>
      <c r="P168" s="358">
        <v>0</v>
      </c>
      <c r="Q168" s="359">
        <v>0</v>
      </c>
      <c r="R168" s="360">
        <v>0</v>
      </c>
      <c r="S168" s="360">
        <v>0</v>
      </c>
      <c r="T168" s="361"/>
      <c r="U168" s="306">
        <v>0</v>
      </c>
      <c r="V168" s="307">
        <v>0</v>
      </c>
      <c r="W168" s="306">
        <v>0</v>
      </c>
      <c r="X168" s="306">
        <v>0</v>
      </c>
      <c r="Y168" s="307">
        <v>0</v>
      </c>
      <c r="Z168" s="169"/>
      <c r="AA168" s="306">
        <v>17.989999999999998</v>
      </c>
      <c r="AB168" s="307">
        <v>17.989999999999998</v>
      </c>
    </row>
  </sheetData>
  <conditionalFormatting sqref="W18:W168">
    <cfRule type="cellIs" dxfId="1" priority="4" operator="notEqual">
      <formula>0</formula>
    </cfRule>
  </conditionalFormatting>
  <conditionalFormatting sqref="Y18:Y168">
    <cfRule type="cellIs" priority="3" operator="notEqual">
      <formula>0</formula>
    </cfRule>
  </conditionalFormatting>
  <conditionalFormatting sqref="AB18:AB168">
    <cfRule type="cellIs" dxfId="0" priority="1" operator="notEqual">
      <formula>0</formula>
    </cfRule>
    <cfRule type="cellIs" priority="2" operator="notEqual">
      <formula>0</formula>
    </cfRule>
  </conditionalFormatting>
  <pageMargins left="0.7" right="0.7" top="0.75" bottom="0.75" header="0.3" footer="0.3"/>
  <pageSetup scale="1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06656-BE6E-48B3-9991-5620FEA1DF8A}">
  <dimension ref="A1:XFC169"/>
  <sheetViews>
    <sheetView zoomScale="75" zoomScaleNormal="75" workbookViewId="0">
      <pane ySplit="8" topLeftCell="A9" activePane="bottomLeft" state="frozen"/>
      <selection pane="bottomLeft" activeCell="O8" sqref="O8"/>
    </sheetView>
  </sheetViews>
  <sheetFormatPr defaultColWidth="0" defaultRowHeight="6" customHeight="1" zeroHeight="1" x14ac:dyDescent="0.35"/>
  <cols>
    <col min="1" max="1" width="15.54296875" style="4" bestFit="1" customWidth="1"/>
    <col min="2" max="2" width="16.1796875" style="4" customWidth="1"/>
    <col min="3" max="3" width="39.453125" style="4" customWidth="1"/>
    <col min="4" max="4" width="5.1796875" style="4" bestFit="1" customWidth="1"/>
    <col min="5" max="5" width="16.54296875" style="4" bestFit="1" customWidth="1"/>
    <col min="6" max="6" width="17.26953125" style="247" bestFit="1" customWidth="1"/>
    <col min="7" max="7" width="4" style="247" bestFit="1" customWidth="1"/>
    <col min="8" max="9" width="15.7265625" style="4" bestFit="1" customWidth="1"/>
    <col min="10" max="10" width="32.1796875" style="4" bestFit="1" customWidth="1"/>
    <col min="11" max="11" width="11.453125" style="4" bestFit="1" customWidth="1"/>
    <col min="12" max="12" width="6.54296875" style="186" bestFit="1" customWidth="1"/>
    <col min="13" max="13" width="7.7265625" style="206" bestFit="1" customWidth="1"/>
    <col min="14" max="14" width="10" style="186" bestFit="1" customWidth="1"/>
    <col min="15" max="15" width="12.26953125" style="4" bestFit="1" customWidth="1"/>
    <col min="16" max="16" width="15.54296875" style="4" bestFit="1" customWidth="1"/>
    <col min="17" max="17" width="21.26953125" style="4" bestFit="1" customWidth="1"/>
    <col min="18" max="19" width="2.26953125" style="4" hidden="1" customWidth="1"/>
    <col min="20" max="20" width="5.54296875" style="4" bestFit="1" customWidth="1"/>
    <col min="21" max="23" width="9.1796875" style="4" hidden="1"/>
    <col min="24" max="24" width="9.1796875" style="209" hidden="1"/>
    <col min="25" max="16382" width="9.1796875" style="4" hidden="1"/>
    <col min="16383" max="16383" width="5.453125" style="4" hidden="1"/>
    <col min="16384" max="16384" width="13.7265625" style="4" hidden="1"/>
  </cols>
  <sheetData>
    <row r="1" spans="1:20" ht="16.5" customHeight="1" x14ac:dyDescent="0.35">
      <c r="A1" s="169"/>
      <c r="B1" s="181"/>
      <c r="C1" s="182"/>
      <c r="D1" s="169"/>
      <c r="E1" s="169"/>
      <c r="F1" s="180"/>
      <c r="G1" s="180"/>
      <c r="H1" s="180"/>
      <c r="I1" s="180"/>
      <c r="J1" s="169"/>
      <c r="K1" s="169"/>
      <c r="L1" s="183"/>
      <c r="M1" s="246">
        <v>0</v>
      </c>
      <c r="N1" s="246">
        <v>0</v>
      </c>
      <c r="O1" s="246">
        <v>0</v>
      </c>
      <c r="P1" s="169"/>
      <c r="Q1" s="374">
        <v>1</v>
      </c>
      <c r="R1" s="374">
        <v>2</v>
      </c>
      <c r="S1" s="375">
        <v>3</v>
      </c>
    </row>
    <row r="2" spans="1:20" ht="16.5" customHeight="1" x14ac:dyDescent="0.35">
      <c r="B2" s="39" t="s">
        <v>296</v>
      </c>
      <c r="C2" s="184" t="s">
        <v>226</v>
      </c>
      <c r="D2" s="5"/>
      <c r="O2" s="187"/>
      <c r="P2" s="188" t="s">
        <v>297</v>
      </c>
      <c r="Q2" s="189">
        <v>13</v>
      </c>
      <c r="R2" s="189">
        <v>0</v>
      </c>
      <c r="S2" s="189">
        <v>0</v>
      </c>
      <c r="T2" s="249">
        <v>0</v>
      </c>
    </row>
    <row r="3" spans="1:20" s="190" customFormat="1" ht="16.5" customHeight="1" x14ac:dyDescent="0.35">
      <c r="B3" s="191" t="s">
        <v>298</v>
      </c>
      <c r="C3" s="192" t="s">
        <v>269</v>
      </c>
      <c r="D3" s="192"/>
      <c r="F3" s="241"/>
      <c r="G3" s="241"/>
      <c r="L3" s="193"/>
      <c r="M3" s="248"/>
      <c r="N3" s="193"/>
      <c r="O3" s="194"/>
      <c r="P3" s="195" t="s">
        <v>299</v>
      </c>
      <c r="Q3" s="189">
        <v>2263</v>
      </c>
      <c r="R3" s="189"/>
      <c r="S3" s="189"/>
    </row>
    <row r="4" spans="1:20" ht="16.5" customHeight="1" x14ac:dyDescent="0.35">
      <c r="B4" s="39" t="s">
        <v>300</v>
      </c>
      <c r="C4" s="192" t="s">
        <v>216</v>
      </c>
      <c r="D4" s="5"/>
      <c r="O4" s="187"/>
      <c r="P4" s="185"/>
      <c r="Q4" s="196"/>
      <c r="R4" s="196"/>
    </row>
    <row r="5" spans="1:20" ht="31.5" customHeight="1" x14ac:dyDescent="0.35">
      <c r="B5" s="39" t="s">
        <v>301</v>
      </c>
      <c r="C5" s="387" t="s">
        <v>271</v>
      </c>
      <c r="D5" s="5"/>
      <c r="M5" s="249"/>
      <c r="N5" s="249"/>
      <c r="O5" s="249"/>
      <c r="P5" s="185"/>
      <c r="Q5" s="197"/>
      <c r="R5" s="197"/>
    </row>
    <row r="6" spans="1:20" ht="16.5" customHeight="1" x14ac:dyDescent="0.35">
      <c r="L6" s="183"/>
      <c r="M6" s="373">
        <v>13</v>
      </c>
      <c r="N6" s="373">
        <v>192</v>
      </c>
      <c r="O6" s="373">
        <v>8158.0800000000008</v>
      </c>
      <c r="P6" s="185"/>
      <c r="Q6" s="196"/>
      <c r="R6" s="196"/>
    </row>
    <row r="7" spans="1:20" ht="16.5" customHeight="1" x14ac:dyDescent="0.35">
      <c r="O7" s="187"/>
      <c r="P7" s="198"/>
      <c r="Q7" s="199" t="s">
        <v>302</v>
      </c>
      <c r="R7" s="199"/>
    </row>
    <row r="8" spans="1:20" ht="46.5" x14ac:dyDescent="0.35">
      <c r="A8" s="365"/>
      <c r="B8" s="200" t="s">
        <v>303</v>
      </c>
      <c r="C8" s="200" t="s">
        <v>304</v>
      </c>
      <c r="D8" s="200" t="s">
        <v>247</v>
      </c>
      <c r="E8" s="200" t="s">
        <v>305</v>
      </c>
      <c r="F8" s="200" t="s">
        <v>253</v>
      </c>
      <c r="G8" s="200" t="s">
        <v>306</v>
      </c>
      <c r="H8" s="201" t="s">
        <v>255</v>
      </c>
      <c r="I8" s="201" t="s">
        <v>256</v>
      </c>
      <c r="J8" s="200" t="s">
        <v>13</v>
      </c>
      <c r="K8" s="200" t="s">
        <v>258</v>
      </c>
      <c r="L8" s="203" t="s">
        <v>259</v>
      </c>
      <c r="M8" s="202" t="s">
        <v>260</v>
      </c>
      <c r="N8" s="203" t="s">
        <v>261</v>
      </c>
      <c r="O8" s="204" t="s">
        <v>263</v>
      </c>
      <c r="P8" s="205" t="s">
        <v>307</v>
      </c>
      <c r="Q8" s="242" t="s">
        <v>271</v>
      </c>
      <c r="R8" s="242">
        <v>0</v>
      </c>
      <c r="S8" s="242">
        <v>0</v>
      </c>
    </row>
    <row r="9" spans="1:20" ht="16.5" customHeight="1" x14ac:dyDescent="0.35">
      <c r="B9" s="366" t="s">
        <v>226</v>
      </c>
      <c r="C9" s="367" t="s">
        <v>269</v>
      </c>
      <c r="D9" s="367">
        <v>1</v>
      </c>
      <c r="E9" s="368">
        <v>6520730010701</v>
      </c>
      <c r="F9" s="368" t="s">
        <v>275</v>
      </c>
      <c r="G9" s="368" t="s">
        <v>273</v>
      </c>
      <c r="H9" s="368" t="s">
        <v>276</v>
      </c>
      <c r="I9" s="368" t="s">
        <v>276</v>
      </c>
      <c r="J9" s="368" t="s">
        <v>277</v>
      </c>
      <c r="K9" s="369">
        <v>49.99</v>
      </c>
      <c r="L9" s="369">
        <v>12</v>
      </c>
      <c r="M9" s="369">
        <v>2</v>
      </c>
      <c r="N9" s="370">
        <v>24</v>
      </c>
      <c r="O9" s="371">
        <v>1199.76</v>
      </c>
      <c r="P9" s="372">
        <v>0</v>
      </c>
      <c r="Q9" s="368">
        <v>2</v>
      </c>
      <c r="R9" s="368">
        <v>0</v>
      </c>
      <c r="S9" s="368">
        <v>0</v>
      </c>
    </row>
    <row r="10" spans="1:20" ht="16.5" customHeight="1" x14ac:dyDescent="0.35">
      <c r="B10" s="366" t="s">
        <v>226</v>
      </c>
      <c r="C10" s="367" t="s">
        <v>269</v>
      </c>
      <c r="D10" s="367">
        <v>2</v>
      </c>
      <c r="E10" s="368">
        <v>6529144010801</v>
      </c>
      <c r="F10" s="368" t="s">
        <v>278</v>
      </c>
      <c r="G10" s="368" t="s">
        <v>273</v>
      </c>
      <c r="H10" s="368" t="s">
        <v>279</v>
      </c>
      <c r="I10" s="368" t="s">
        <v>279</v>
      </c>
      <c r="J10" s="368" t="s">
        <v>280</v>
      </c>
      <c r="K10" s="369">
        <v>49.99</v>
      </c>
      <c r="L10" s="369">
        <v>12</v>
      </c>
      <c r="M10" s="369">
        <v>2</v>
      </c>
      <c r="N10" s="370">
        <v>24</v>
      </c>
      <c r="O10" s="371">
        <v>1199.76</v>
      </c>
      <c r="P10" s="372">
        <v>0</v>
      </c>
      <c r="Q10" s="368">
        <v>2</v>
      </c>
      <c r="R10" s="368">
        <v>0</v>
      </c>
      <c r="S10" s="368">
        <v>0</v>
      </c>
    </row>
    <row r="11" spans="1:20" ht="16.5" customHeight="1" x14ac:dyDescent="0.35">
      <c r="B11" s="366" t="s">
        <v>226</v>
      </c>
      <c r="C11" s="367" t="s">
        <v>269</v>
      </c>
      <c r="D11" s="367">
        <v>3</v>
      </c>
      <c r="E11" s="368">
        <v>6529146010601</v>
      </c>
      <c r="F11" s="368" t="s">
        <v>281</v>
      </c>
      <c r="G11" s="368" t="s">
        <v>273</v>
      </c>
      <c r="H11" s="368" t="s">
        <v>282</v>
      </c>
      <c r="I11" s="368" t="s">
        <v>282</v>
      </c>
      <c r="J11" s="368" t="s">
        <v>283</v>
      </c>
      <c r="K11" s="369">
        <v>39.99</v>
      </c>
      <c r="L11" s="369">
        <v>24</v>
      </c>
      <c r="M11" s="369">
        <v>1</v>
      </c>
      <c r="N11" s="370">
        <v>24</v>
      </c>
      <c r="O11" s="371">
        <v>959.76</v>
      </c>
      <c r="P11" s="372">
        <v>0</v>
      </c>
      <c r="Q11" s="368">
        <v>1</v>
      </c>
      <c r="R11" s="368">
        <v>0</v>
      </c>
      <c r="S11" s="368">
        <v>0</v>
      </c>
    </row>
    <row r="12" spans="1:20" ht="16.5" customHeight="1" x14ac:dyDescent="0.35">
      <c r="B12" s="366" t="s">
        <v>226</v>
      </c>
      <c r="C12" s="367" t="s">
        <v>269</v>
      </c>
      <c r="D12" s="367">
        <v>4</v>
      </c>
      <c r="E12" s="368">
        <v>6529147010501</v>
      </c>
      <c r="F12" s="368" t="s">
        <v>284</v>
      </c>
      <c r="G12" s="368" t="s">
        <v>273</v>
      </c>
      <c r="H12" s="368" t="s">
        <v>285</v>
      </c>
      <c r="I12" s="368" t="s">
        <v>285</v>
      </c>
      <c r="J12" s="368" t="s">
        <v>283</v>
      </c>
      <c r="K12" s="369">
        <v>39.99</v>
      </c>
      <c r="L12" s="369">
        <v>24</v>
      </c>
      <c r="M12" s="369">
        <v>1</v>
      </c>
      <c r="N12" s="370">
        <v>24</v>
      </c>
      <c r="O12" s="371">
        <v>959.76</v>
      </c>
      <c r="P12" s="372">
        <v>0</v>
      </c>
      <c r="Q12" s="368">
        <v>1</v>
      </c>
      <c r="R12" s="368">
        <v>0</v>
      </c>
      <c r="S12" s="368">
        <v>0</v>
      </c>
    </row>
    <row r="13" spans="1:20" ht="16.5" customHeight="1" x14ac:dyDescent="0.35">
      <c r="B13" s="366" t="s">
        <v>226</v>
      </c>
      <c r="C13" s="367" t="s">
        <v>269</v>
      </c>
      <c r="D13" s="367">
        <v>5</v>
      </c>
      <c r="E13" s="368">
        <v>6529148010401</v>
      </c>
      <c r="F13" s="368" t="s">
        <v>286</v>
      </c>
      <c r="G13" s="368" t="s">
        <v>273</v>
      </c>
      <c r="H13" s="368" t="s">
        <v>287</v>
      </c>
      <c r="I13" s="368" t="s">
        <v>287</v>
      </c>
      <c r="J13" s="368" t="s">
        <v>288</v>
      </c>
      <c r="K13" s="369">
        <v>39.99</v>
      </c>
      <c r="L13" s="369">
        <v>12</v>
      </c>
      <c r="M13" s="369">
        <v>2</v>
      </c>
      <c r="N13" s="370">
        <v>24</v>
      </c>
      <c r="O13" s="371">
        <v>959.76</v>
      </c>
      <c r="P13" s="372">
        <v>0</v>
      </c>
      <c r="Q13" s="368">
        <v>2</v>
      </c>
      <c r="R13" s="368">
        <v>0</v>
      </c>
      <c r="S13" s="368">
        <v>0</v>
      </c>
    </row>
    <row r="14" spans="1:20" ht="16.5" customHeight="1" x14ac:dyDescent="0.35">
      <c r="B14" s="366" t="s">
        <v>226</v>
      </c>
      <c r="C14" s="367" t="s">
        <v>269</v>
      </c>
      <c r="D14" s="367">
        <v>6</v>
      </c>
      <c r="E14" s="368">
        <v>6529149010301</v>
      </c>
      <c r="F14" s="368" t="s">
        <v>281</v>
      </c>
      <c r="G14" s="368" t="s">
        <v>273</v>
      </c>
      <c r="H14" s="368" t="s">
        <v>290</v>
      </c>
      <c r="I14" s="368" t="s">
        <v>290</v>
      </c>
      <c r="J14" s="368" t="s">
        <v>291</v>
      </c>
      <c r="K14" s="369">
        <v>39.99</v>
      </c>
      <c r="L14" s="369">
        <v>24</v>
      </c>
      <c r="M14" s="369">
        <v>1</v>
      </c>
      <c r="N14" s="370">
        <v>24</v>
      </c>
      <c r="O14" s="371">
        <v>959.76</v>
      </c>
      <c r="P14" s="372">
        <v>0</v>
      </c>
      <c r="Q14" s="368">
        <v>1</v>
      </c>
      <c r="R14" s="368">
        <v>0</v>
      </c>
      <c r="S14" s="368">
        <v>0</v>
      </c>
    </row>
    <row r="15" spans="1:20" ht="16.5" customHeight="1" x14ac:dyDescent="0.35">
      <c r="B15" s="366" t="s">
        <v>226</v>
      </c>
      <c r="C15" s="367" t="s">
        <v>269</v>
      </c>
      <c r="D15" s="367">
        <v>7</v>
      </c>
      <c r="E15" s="368">
        <v>6529154010501</v>
      </c>
      <c r="F15" s="368" t="s">
        <v>281</v>
      </c>
      <c r="G15" s="368" t="s">
        <v>273</v>
      </c>
      <c r="H15" s="368" t="s">
        <v>292</v>
      </c>
      <c r="I15" s="368" t="s">
        <v>292</v>
      </c>
      <c r="J15" s="368" t="s">
        <v>293</v>
      </c>
      <c r="K15" s="369">
        <v>39.99</v>
      </c>
      <c r="L15" s="369">
        <v>12</v>
      </c>
      <c r="M15" s="369">
        <v>2</v>
      </c>
      <c r="N15" s="370">
        <v>24</v>
      </c>
      <c r="O15" s="371">
        <v>959.76</v>
      </c>
      <c r="P15" s="372">
        <v>0</v>
      </c>
      <c r="Q15" s="368">
        <v>2</v>
      </c>
      <c r="R15" s="368">
        <v>0</v>
      </c>
      <c r="S15" s="368">
        <v>0</v>
      </c>
    </row>
    <row r="16" spans="1:20" ht="16.5" customHeight="1" x14ac:dyDescent="0.35">
      <c r="B16" s="366" t="s">
        <v>226</v>
      </c>
      <c r="C16" s="367" t="s">
        <v>269</v>
      </c>
      <c r="D16" s="367">
        <v>8</v>
      </c>
      <c r="E16" s="368">
        <v>6529157010201</v>
      </c>
      <c r="F16" s="368" t="s">
        <v>284</v>
      </c>
      <c r="G16" s="368" t="s">
        <v>273</v>
      </c>
      <c r="H16" s="368" t="s">
        <v>294</v>
      </c>
      <c r="I16" s="368" t="s">
        <v>294</v>
      </c>
      <c r="J16" s="368" t="s">
        <v>295</v>
      </c>
      <c r="K16" s="369">
        <v>39.99</v>
      </c>
      <c r="L16" s="369">
        <v>12</v>
      </c>
      <c r="M16" s="369">
        <v>2</v>
      </c>
      <c r="N16" s="370">
        <v>24</v>
      </c>
      <c r="O16" s="371">
        <v>959.76</v>
      </c>
      <c r="P16" s="372">
        <v>0</v>
      </c>
      <c r="Q16" s="368">
        <v>2</v>
      </c>
      <c r="R16" s="368">
        <v>0</v>
      </c>
      <c r="S16" s="368">
        <v>0</v>
      </c>
    </row>
    <row r="17" spans="2:19" ht="16.5" customHeight="1" x14ac:dyDescent="0.35">
      <c r="B17" s="366"/>
      <c r="C17" s="367"/>
      <c r="D17" s="367"/>
      <c r="E17" s="368"/>
      <c r="F17" s="368"/>
      <c r="G17" s="368"/>
      <c r="H17" s="368"/>
      <c r="I17" s="368"/>
      <c r="J17" s="368"/>
      <c r="K17" s="369"/>
      <c r="L17" s="369"/>
      <c r="M17" s="369"/>
      <c r="N17" s="370"/>
      <c r="O17" s="371"/>
      <c r="P17" s="372"/>
      <c r="Q17" s="368"/>
      <c r="R17" s="368"/>
      <c r="S17" s="368"/>
    </row>
    <row r="18" spans="2:19" ht="16.5" hidden="1" customHeight="1" x14ac:dyDescent="0.35">
      <c r="B18" s="366" t="s">
        <v>226</v>
      </c>
      <c r="C18" s="367" t="s">
        <v>269</v>
      </c>
      <c r="D18" s="367">
        <v>10</v>
      </c>
      <c r="E18" s="368" t="s">
        <v>16</v>
      </c>
      <c r="F18" s="368" t="s">
        <v>16</v>
      </c>
      <c r="G18" s="368" t="s">
        <v>16</v>
      </c>
      <c r="H18" s="368" t="s">
        <v>16</v>
      </c>
      <c r="I18" s="368" t="s">
        <v>16</v>
      </c>
      <c r="J18" s="368" t="s">
        <v>16</v>
      </c>
      <c r="K18" s="369">
        <v>0</v>
      </c>
      <c r="L18" s="369" t="s">
        <v>16</v>
      </c>
      <c r="M18" s="369" t="s">
        <v>16</v>
      </c>
      <c r="N18" s="370" t="s">
        <v>308</v>
      </c>
      <c r="O18" s="371">
        <v>0</v>
      </c>
      <c r="P18" s="372" t="e">
        <v>#VALUE!</v>
      </c>
      <c r="Q18" s="368" t="s">
        <v>16</v>
      </c>
      <c r="R18" s="368" t="s">
        <v>16</v>
      </c>
      <c r="S18" s="368" t="s">
        <v>16</v>
      </c>
    </row>
    <row r="19" spans="2:19" ht="16.5" hidden="1" customHeight="1" x14ac:dyDescent="0.35">
      <c r="B19" s="366" t="s">
        <v>226</v>
      </c>
      <c r="C19" s="367" t="s">
        <v>269</v>
      </c>
      <c r="D19" s="367">
        <v>11</v>
      </c>
      <c r="E19" s="368" t="s">
        <v>16</v>
      </c>
      <c r="F19" s="368" t="s">
        <v>16</v>
      </c>
      <c r="G19" s="368" t="s">
        <v>16</v>
      </c>
      <c r="H19" s="368" t="s">
        <v>16</v>
      </c>
      <c r="I19" s="368" t="s">
        <v>16</v>
      </c>
      <c r="J19" s="368" t="s">
        <v>16</v>
      </c>
      <c r="K19" s="369">
        <v>0</v>
      </c>
      <c r="L19" s="369" t="s">
        <v>16</v>
      </c>
      <c r="M19" s="369" t="s">
        <v>16</v>
      </c>
      <c r="N19" s="370" t="s">
        <v>308</v>
      </c>
      <c r="O19" s="371">
        <v>0</v>
      </c>
      <c r="P19" s="372" t="e">
        <v>#VALUE!</v>
      </c>
      <c r="Q19" s="368" t="s">
        <v>16</v>
      </c>
      <c r="R19" s="368" t="s">
        <v>16</v>
      </c>
      <c r="S19" s="368" t="s">
        <v>16</v>
      </c>
    </row>
    <row r="20" spans="2:19" ht="16.5" hidden="1" customHeight="1" x14ac:dyDescent="0.35">
      <c r="B20" s="366" t="s">
        <v>226</v>
      </c>
      <c r="C20" s="367" t="s">
        <v>269</v>
      </c>
      <c r="D20" s="367">
        <v>12</v>
      </c>
      <c r="E20" s="368" t="s">
        <v>16</v>
      </c>
      <c r="F20" s="368" t="s">
        <v>16</v>
      </c>
      <c r="G20" s="368" t="s">
        <v>16</v>
      </c>
      <c r="H20" s="368" t="s">
        <v>16</v>
      </c>
      <c r="I20" s="368" t="s">
        <v>16</v>
      </c>
      <c r="J20" s="368" t="s">
        <v>16</v>
      </c>
      <c r="K20" s="369">
        <v>0</v>
      </c>
      <c r="L20" s="369" t="s">
        <v>16</v>
      </c>
      <c r="M20" s="369" t="s">
        <v>16</v>
      </c>
      <c r="N20" s="370" t="s">
        <v>308</v>
      </c>
      <c r="O20" s="371">
        <v>0</v>
      </c>
      <c r="P20" s="372" t="e">
        <v>#VALUE!</v>
      </c>
      <c r="Q20" s="368" t="s">
        <v>16</v>
      </c>
      <c r="R20" s="368" t="s">
        <v>16</v>
      </c>
      <c r="S20" s="368" t="s">
        <v>16</v>
      </c>
    </row>
    <row r="21" spans="2:19" ht="16.5" hidden="1" customHeight="1" x14ac:dyDescent="0.35">
      <c r="B21" s="366" t="s">
        <v>226</v>
      </c>
      <c r="C21" s="367" t="s">
        <v>269</v>
      </c>
      <c r="D21" s="367">
        <v>13</v>
      </c>
      <c r="E21" s="368" t="s">
        <v>16</v>
      </c>
      <c r="F21" s="368" t="s">
        <v>16</v>
      </c>
      <c r="G21" s="368" t="s">
        <v>16</v>
      </c>
      <c r="H21" s="368" t="s">
        <v>16</v>
      </c>
      <c r="I21" s="368" t="s">
        <v>16</v>
      </c>
      <c r="J21" s="368" t="s">
        <v>16</v>
      </c>
      <c r="K21" s="369">
        <v>0</v>
      </c>
      <c r="L21" s="369" t="s">
        <v>16</v>
      </c>
      <c r="M21" s="369" t="s">
        <v>16</v>
      </c>
      <c r="N21" s="370" t="s">
        <v>308</v>
      </c>
      <c r="O21" s="371">
        <v>0</v>
      </c>
      <c r="P21" s="372" t="e">
        <v>#VALUE!</v>
      </c>
      <c r="Q21" s="368" t="s">
        <v>16</v>
      </c>
      <c r="R21" s="368" t="s">
        <v>16</v>
      </c>
      <c r="S21" s="368" t="s">
        <v>16</v>
      </c>
    </row>
    <row r="22" spans="2:19" ht="16.5" hidden="1" customHeight="1" x14ac:dyDescent="0.35">
      <c r="B22" s="366" t="s">
        <v>226</v>
      </c>
      <c r="C22" s="367" t="s">
        <v>269</v>
      </c>
      <c r="D22" s="367">
        <v>14</v>
      </c>
      <c r="E22" s="368" t="s">
        <v>16</v>
      </c>
      <c r="F22" s="368" t="s">
        <v>16</v>
      </c>
      <c r="G22" s="368" t="s">
        <v>16</v>
      </c>
      <c r="H22" s="368" t="s">
        <v>16</v>
      </c>
      <c r="I22" s="368" t="s">
        <v>16</v>
      </c>
      <c r="J22" s="368" t="s">
        <v>16</v>
      </c>
      <c r="K22" s="369">
        <v>0</v>
      </c>
      <c r="L22" s="369" t="s">
        <v>16</v>
      </c>
      <c r="M22" s="369" t="s">
        <v>16</v>
      </c>
      <c r="N22" s="370" t="s">
        <v>308</v>
      </c>
      <c r="O22" s="371">
        <v>0</v>
      </c>
      <c r="P22" s="372" t="e">
        <v>#VALUE!</v>
      </c>
      <c r="Q22" s="368" t="s">
        <v>16</v>
      </c>
      <c r="R22" s="368" t="s">
        <v>16</v>
      </c>
      <c r="S22" s="368" t="s">
        <v>16</v>
      </c>
    </row>
    <row r="23" spans="2:19" ht="16.5" hidden="1" customHeight="1" x14ac:dyDescent="0.35">
      <c r="B23" s="366" t="s">
        <v>226</v>
      </c>
      <c r="C23" s="367" t="s">
        <v>269</v>
      </c>
      <c r="D23" s="367">
        <v>15</v>
      </c>
      <c r="E23" s="368" t="s">
        <v>16</v>
      </c>
      <c r="F23" s="368" t="s">
        <v>16</v>
      </c>
      <c r="G23" s="368" t="s">
        <v>16</v>
      </c>
      <c r="H23" s="368" t="s">
        <v>16</v>
      </c>
      <c r="I23" s="368" t="s">
        <v>16</v>
      </c>
      <c r="J23" s="368" t="s">
        <v>16</v>
      </c>
      <c r="K23" s="369">
        <v>0</v>
      </c>
      <c r="L23" s="369" t="s">
        <v>16</v>
      </c>
      <c r="M23" s="369" t="s">
        <v>16</v>
      </c>
      <c r="N23" s="370" t="s">
        <v>308</v>
      </c>
      <c r="O23" s="371">
        <v>0</v>
      </c>
      <c r="P23" s="372" t="e">
        <v>#VALUE!</v>
      </c>
      <c r="Q23" s="368" t="s">
        <v>16</v>
      </c>
      <c r="R23" s="368" t="s">
        <v>16</v>
      </c>
      <c r="S23" s="368" t="s">
        <v>16</v>
      </c>
    </row>
    <row r="24" spans="2:19" ht="16.5" hidden="1" customHeight="1" x14ac:dyDescent="0.35">
      <c r="B24" s="366" t="s">
        <v>226</v>
      </c>
      <c r="C24" s="367" t="s">
        <v>269</v>
      </c>
      <c r="D24" s="367">
        <v>16</v>
      </c>
      <c r="E24" s="368" t="s">
        <v>16</v>
      </c>
      <c r="F24" s="368" t="s">
        <v>16</v>
      </c>
      <c r="G24" s="368" t="s">
        <v>16</v>
      </c>
      <c r="H24" s="368" t="s">
        <v>16</v>
      </c>
      <c r="I24" s="368" t="s">
        <v>16</v>
      </c>
      <c r="J24" s="368" t="s">
        <v>16</v>
      </c>
      <c r="K24" s="369">
        <v>0</v>
      </c>
      <c r="L24" s="369" t="s">
        <v>16</v>
      </c>
      <c r="M24" s="369" t="s">
        <v>16</v>
      </c>
      <c r="N24" s="370" t="s">
        <v>308</v>
      </c>
      <c r="O24" s="371">
        <v>0</v>
      </c>
      <c r="P24" s="372" t="e">
        <v>#VALUE!</v>
      </c>
      <c r="Q24" s="368" t="s">
        <v>16</v>
      </c>
      <c r="R24" s="368" t="s">
        <v>16</v>
      </c>
      <c r="S24" s="368" t="s">
        <v>16</v>
      </c>
    </row>
    <row r="25" spans="2:19" ht="16.5" hidden="1" customHeight="1" x14ac:dyDescent="0.35">
      <c r="B25" s="366" t="s">
        <v>226</v>
      </c>
      <c r="C25" s="367" t="s">
        <v>269</v>
      </c>
      <c r="D25" s="367">
        <v>17</v>
      </c>
      <c r="E25" s="368" t="s">
        <v>16</v>
      </c>
      <c r="F25" s="368" t="s">
        <v>16</v>
      </c>
      <c r="G25" s="368" t="s">
        <v>16</v>
      </c>
      <c r="H25" s="368" t="s">
        <v>16</v>
      </c>
      <c r="I25" s="368" t="s">
        <v>16</v>
      </c>
      <c r="J25" s="368" t="s">
        <v>16</v>
      </c>
      <c r="K25" s="369">
        <v>0</v>
      </c>
      <c r="L25" s="369" t="s">
        <v>16</v>
      </c>
      <c r="M25" s="369" t="s">
        <v>16</v>
      </c>
      <c r="N25" s="370" t="s">
        <v>308</v>
      </c>
      <c r="O25" s="371">
        <v>0</v>
      </c>
      <c r="P25" s="372" t="e">
        <v>#VALUE!</v>
      </c>
      <c r="Q25" s="368" t="s">
        <v>16</v>
      </c>
      <c r="R25" s="368" t="s">
        <v>16</v>
      </c>
      <c r="S25" s="368" t="s">
        <v>16</v>
      </c>
    </row>
    <row r="26" spans="2:19" ht="16.5" hidden="1" customHeight="1" x14ac:dyDescent="0.35">
      <c r="B26" s="366" t="s">
        <v>226</v>
      </c>
      <c r="C26" s="367" t="s">
        <v>269</v>
      </c>
      <c r="D26" s="367">
        <v>18</v>
      </c>
      <c r="E26" s="368" t="s">
        <v>16</v>
      </c>
      <c r="F26" s="368" t="s">
        <v>16</v>
      </c>
      <c r="G26" s="368" t="s">
        <v>16</v>
      </c>
      <c r="H26" s="368" t="s">
        <v>16</v>
      </c>
      <c r="I26" s="368" t="s">
        <v>16</v>
      </c>
      <c r="J26" s="368" t="s">
        <v>16</v>
      </c>
      <c r="K26" s="369">
        <v>0</v>
      </c>
      <c r="L26" s="369" t="s">
        <v>16</v>
      </c>
      <c r="M26" s="369" t="s">
        <v>16</v>
      </c>
      <c r="N26" s="370" t="s">
        <v>308</v>
      </c>
      <c r="O26" s="371">
        <v>0</v>
      </c>
      <c r="P26" s="372" t="e">
        <v>#VALUE!</v>
      </c>
      <c r="Q26" s="368" t="s">
        <v>16</v>
      </c>
      <c r="R26" s="368" t="s">
        <v>16</v>
      </c>
      <c r="S26" s="368" t="s">
        <v>16</v>
      </c>
    </row>
    <row r="27" spans="2:19" ht="16.5" hidden="1" customHeight="1" x14ac:dyDescent="0.35">
      <c r="B27" s="366" t="s">
        <v>226</v>
      </c>
      <c r="C27" s="367" t="s">
        <v>269</v>
      </c>
      <c r="D27" s="367">
        <v>19</v>
      </c>
      <c r="E27" s="368" t="s">
        <v>16</v>
      </c>
      <c r="F27" s="368" t="s">
        <v>16</v>
      </c>
      <c r="G27" s="368" t="s">
        <v>16</v>
      </c>
      <c r="H27" s="368" t="s">
        <v>16</v>
      </c>
      <c r="I27" s="368" t="s">
        <v>16</v>
      </c>
      <c r="J27" s="368" t="s">
        <v>16</v>
      </c>
      <c r="K27" s="369">
        <v>0</v>
      </c>
      <c r="L27" s="369" t="s">
        <v>16</v>
      </c>
      <c r="M27" s="369" t="s">
        <v>16</v>
      </c>
      <c r="N27" s="370" t="s">
        <v>308</v>
      </c>
      <c r="O27" s="371">
        <v>0</v>
      </c>
      <c r="P27" s="372" t="e">
        <v>#VALUE!</v>
      </c>
      <c r="Q27" s="368" t="s">
        <v>16</v>
      </c>
      <c r="R27" s="368" t="s">
        <v>16</v>
      </c>
      <c r="S27" s="368" t="s">
        <v>16</v>
      </c>
    </row>
    <row r="28" spans="2:19" ht="16.5" hidden="1" customHeight="1" x14ac:dyDescent="0.35">
      <c r="B28" s="366" t="s">
        <v>226</v>
      </c>
      <c r="C28" s="367" t="s">
        <v>269</v>
      </c>
      <c r="D28" s="367">
        <v>20</v>
      </c>
      <c r="E28" s="368" t="s">
        <v>16</v>
      </c>
      <c r="F28" s="368" t="s">
        <v>16</v>
      </c>
      <c r="G28" s="368" t="s">
        <v>16</v>
      </c>
      <c r="H28" s="368" t="s">
        <v>16</v>
      </c>
      <c r="I28" s="368" t="s">
        <v>16</v>
      </c>
      <c r="J28" s="368" t="s">
        <v>16</v>
      </c>
      <c r="K28" s="369">
        <v>0</v>
      </c>
      <c r="L28" s="369" t="s">
        <v>16</v>
      </c>
      <c r="M28" s="369" t="s">
        <v>16</v>
      </c>
      <c r="N28" s="370" t="s">
        <v>308</v>
      </c>
      <c r="O28" s="371">
        <v>0</v>
      </c>
      <c r="P28" s="372" t="e">
        <v>#VALUE!</v>
      </c>
      <c r="Q28" s="368" t="s">
        <v>16</v>
      </c>
      <c r="R28" s="368" t="s">
        <v>16</v>
      </c>
      <c r="S28" s="368" t="s">
        <v>16</v>
      </c>
    </row>
    <row r="29" spans="2:19" ht="16.5" hidden="1" customHeight="1" x14ac:dyDescent="0.35">
      <c r="B29" s="366" t="s">
        <v>226</v>
      </c>
      <c r="C29" s="367" t="s">
        <v>269</v>
      </c>
      <c r="D29" s="367">
        <v>21</v>
      </c>
      <c r="E29" s="368" t="s">
        <v>16</v>
      </c>
      <c r="F29" s="368" t="s">
        <v>16</v>
      </c>
      <c r="G29" s="368" t="s">
        <v>16</v>
      </c>
      <c r="H29" s="368" t="s">
        <v>16</v>
      </c>
      <c r="I29" s="368" t="s">
        <v>16</v>
      </c>
      <c r="J29" s="368" t="s">
        <v>16</v>
      </c>
      <c r="K29" s="369">
        <v>0</v>
      </c>
      <c r="L29" s="369" t="s">
        <v>16</v>
      </c>
      <c r="M29" s="369" t="s">
        <v>16</v>
      </c>
      <c r="N29" s="370" t="s">
        <v>308</v>
      </c>
      <c r="O29" s="371">
        <v>0</v>
      </c>
      <c r="P29" s="372" t="e">
        <v>#VALUE!</v>
      </c>
      <c r="Q29" s="368" t="s">
        <v>16</v>
      </c>
      <c r="R29" s="368" t="s">
        <v>16</v>
      </c>
      <c r="S29" s="368" t="s">
        <v>16</v>
      </c>
    </row>
    <row r="30" spans="2:19" ht="16.5" hidden="1" customHeight="1" x14ac:dyDescent="0.35">
      <c r="B30" s="366" t="s">
        <v>226</v>
      </c>
      <c r="C30" s="367" t="s">
        <v>269</v>
      </c>
      <c r="D30" s="367">
        <v>22</v>
      </c>
      <c r="E30" s="368" t="s">
        <v>16</v>
      </c>
      <c r="F30" s="368" t="s">
        <v>16</v>
      </c>
      <c r="G30" s="368" t="s">
        <v>16</v>
      </c>
      <c r="H30" s="368" t="s">
        <v>16</v>
      </c>
      <c r="I30" s="368" t="s">
        <v>16</v>
      </c>
      <c r="J30" s="368" t="s">
        <v>16</v>
      </c>
      <c r="K30" s="369">
        <v>0</v>
      </c>
      <c r="L30" s="369" t="s">
        <v>16</v>
      </c>
      <c r="M30" s="369" t="s">
        <v>16</v>
      </c>
      <c r="N30" s="370" t="s">
        <v>308</v>
      </c>
      <c r="O30" s="371">
        <v>0</v>
      </c>
      <c r="P30" s="372" t="e">
        <v>#VALUE!</v>
      </c>
      <c r="Q30" s="368" t="s">
        <v>16</v>
      </c>
      <c r="R30" s="368" t="s">
        <v>16</v>
      </c>
      <c r="S30" s="368" t="s">
        <v>16</v>
      </c>
    </row>
    <row r="31" spans="2:19" ht="16.5" hidden="1" customHeight="1" x14ac:dyDescent="0.35">
      <c r="B31" s="366" t="s">
        <v>226</v>
      </c>
      <c r="C31" s="367" t="s">
        <v>269</v>
      </c>
      <c r="D31" s="367">
        <v>23</v>
      </c>
      <c r="E31" s="368" t="s">
        <v>16</v>
      </c>
      <c r="F31" s="368" t="s">
        <v>16</v>
      </c>
      <c r="G31" s="368" t="s">
        <v>16</v>
      </c>
      <c r="H31" s="368" t="s">
        <v>16</v>
      </c>
      <c r="I31" s="368" t="s">
        <v>16</v>
      </c>
      <c r="J31" s="368" t="s">
        <v>16</v>
      </c>
      <c r="K31" s="369">
        <v>0</v>
      </c>
      <c r="L31" s="369" t="s">
        <v>16</v>
      </c>
      <c r="M31" s="369" t="s">
        <v>16</v>
      </c>
      <c r="N31" s="370" t="s">
        <v>308</v>
      </c>
      <c r="O31" s="371">
        <v>0</v>
      </c>
      <c r="P31" s="372" t="e">
        <v>#VALUE!</v>
      </c>
      <c r="Q31" s="368" t="s">
        <v>16</v>
      </c>
      <c r="R31" s="368" t="s">
        <v>16</v>
      </c>
      <c r="S31" s="368" t="s">
        <v>16</v>
      </c>
    </row>
    <row r="32" spans="2:19" ht="16.5" hidden="1" customHeight="1" x14ac:dyDescent="0.35">
      <c r="B32" s="366" t="s">
        <v>226</v>
      </c>
      <c r="C32" s="367" t="s">
        <v>269</v>
      </c>
      <c r="D32" s="367">
        <v>24</v>
      </c>
      <c r="E32" s="368" t="s">
        <v>16</v>
      </c>
      <c r="F32" s="368" t="s">
        <v>16</v>
      </c>
      <c r="G32" s="368" t="s">
        <v>16</v>
      </c>
      <c r="H32" s="368" t="s">
        <v>16</v>
      </c>
      <c r="I32" s="368" t="s">
        <v>16</v>
      </c>
      <c r="J32" s="368" t="s">
        <v>16</v>
      </c>
      <c r="K32" s="369">
        <v>0</v>
      </c>
      <c r="L32" s="369" t="s">
        <v>16</v>
      </c>
      <c r="M32" s="369" t="s">
        <v>16</v>
      </c>
      <c r="N32" s="370" t="s">
        <v>308</v>
      </c>
      <c r="O32" s="371">
        <v>0</v>
      </c>
      <c r="P32" s="372" t="e">
        <v>#VALUE!</v>
      </c>
      <c r="Q32" s="368" t="s">
        <v>16</v>
      </c>
      <c r="R32" s="368" t="s">
        <v>16</v>
      </c>
      <c r="S32" s="368" t="s">
        <v>16</v>
      </c>
    </row>
    <row r="33" spans="2:19" ht="16.5" hidden="1" customHeight="1" x14ac:dyDescent="0.35">
      <c r="B33" s="366" t="s">
        <v>226</v>
      </c>
      <c r="C33" s="367" t="s">
        <v>269</v>
      </c>
      <c r="D33" s="367">
        <v>25</v>
      </c>
      <c r="E33" s="368" t="s">
        <v>16</v>
      </c>
      <c r="F33" s="368" t="s">
        <v>16</v>
      </c>
      <c r="G33" s="368" t="s">
        <v>16</v>
      </c>
      <c r="H33" s="368" t="s">
        <v>16</v>
      </c>
      <c r="I33" s="368" t="s">
        <v>16</v>
      </c>
      <c r="J33" s="368" t="s">
        <v>16</v>
      </c>
      <c r="K33" s="369">
        <v>0</v>
      </c>
      <c r="L33" s="369" t="s">
        <v>16</v>
      </c>
      <c r="M33" s="369" t="s">
        <v>16</v>
      </c>
      <c r="N33" s="370" t="s">
        <v>308</v>
      </c>
      <c r="O33" s="371">
        <v>0</v>
      </c>
      <c r="P33" s="372" t="e">
        <v>#VALUE!</v>
      </c>
      <c r="Q33" s="368" t="s">
        <v>16</v>
      </c>
      <c r="R33" s="368" t="s">
        <v>16</v>
      </c>
      <c r="S33" s="368" t="s">
        <v>16</v>
      </c>
    </row>
    <row r="34" spans="2:19" ht="16.5" hidden="1" customHeight="1" x14ac:dyDescent="0.35">
      <c r="B34" s="366" t="s">
        <v>226</v>
      </c>
      <c r="C34" s="367" t="s">
        <v>269</v>
      </c>
      <c r="D34" s="367">
        <v>26</v>
      </c>
      <c r="E34" s="368" t="s">
        <v>16</v>
      </c>
      <c r="F34" s="368" t="s">
        <v>16</v>
      </c>
      <c r="G34" s="368" t="s">
        <v>16</v>
      </c>
      <c r="H34" s="368" t="s">
        <v>16</v>
      </c>
      <c r="I34" s="368" t="s">
        <v>16</v>
      </c>
      <c r="J34" s="368" t="s">
        <v>16</v>
      </c>
      <c r="K34" s="369">
        <v>0</v>
      </c>
      <c r="L34" s="369" t="s">
        <v>16</v>
      </c>
      <c r="M34" s="369" t="s">
        <v>16</v>
      </c>
      <c r="N34" s="370" t="s">
        <v>308</v>
      </c>
      <c r="O34" s="371">
        <v>0</v>
      </c>
      <c r="P34" s="372" t="e">
        <v>#VALUE!</v>
      </c>
      <c r="Q34" s="368" t="s">
        <v>16</v>
      </c>
      <c r="R34" s="368" t="s">
        <v>16</v>
      </c>
      <c r="S34" s="368" t="s">
        <v>16</v>
      </c>
    </row>
    <row r="35" spans="2:19" ht="16.5" hidden="1" customHeight="1" x14ac:dyDescent="0.35">
      <c r="B35" s="366" t="s">
        <v>226</v>
      </c>
      <c r="C35" s="367" t="s">
        <v>269</v>
      </c>
      <c r="D35" s="367">
        <v>27</v>
      </c>
      <c r="E35" s="368" t="s">
        <v>16</v>
      </c>
      <c r="F35" s="368" t="s">
        <v>16</v>
      </c>
      <c r="G35" s="368" t="s">
        <v>16</v>
      </c>
      <c r="H35" s="368" t="s">
        <v>16</v>
      </c>
      <c r="I35" s="368" t="s">
        <v>16</v>
      </c>
      <c r="J35" s="368" t="s">
        <v>16</v>
      </c>
      <c r="K35" s="369">
        <v>0</v>
      </c>
      <c r="L35" s="369" t="s">
        <v>16</v>
      </c>
      <c r="M35" s="369" t="s">
        <v>16</v>
      </c>
      <c r="N35" s="370" t="s">
        <v>308</v>
      </c>
      <c r="O35" s="371">
        <v>0</v>
      </c>
      <c r="P35" s="372" t="e">
        <v>#VALUE!</v>
      </c>
      <c r="Q35" s="368" t="s">
        <v>16</v>
      </c>
      <c r="R35" s="368" t="s">
        <v>16</v>
      </c>
      <c r="S35" s="368" t="s">
        <v>16</v>
      </c>
    </row>
    <row r="36" spans="2:19" ht="16.5" hidden="1" customHeight="1" x14ac:dyDescent="0.35">
      <c r="B36" s="366" t="s">
        <v>226</v>
      </c>
      <c r="C36" s="367" t="s">
        <v>269</v>
      </c>
      <c r="D36" s="367">
        <v>28</v>
      </c>
      <c r="E36" s="368" t="s">
        <v>16</v>
      </c>
      <c r="F36" s="368" t="s">
        <v>16</v>
      </c>
      <c r="G36" s="368" t="s">
        <v>16</v>
      </c>
      <c r="H36" s="368" t="s">
        <v>16</v>
      </c>
      <c r="I36" s="368" t="s">
        <v>16</v>
      </c>
      <c r="J36" s="368" t="s">
        <v>16</v>
      </c>
      <c r="K36" s="369">
        <v>0</v>
      </c>
      <c r="L36" s="369" t="s">
        <v>16</v>
      </c>
      <c r="M36" s="369" t="s">
        <v>16</v>
      </c>
      <c r="N36" s="370" t="s">
        <v>308</v>
      </c>
      <c r="O36" s="371">
        <v>0</v>
      </c>
      <c r="P36" s="372" t="e">
        <v>#VALUE!</v>
      </c>
      <c r="Q36" s="368" t="s">
        <v>16</v>
      </c>
      <c r="R36" s="368" t="s">
        <v>16</v>
      </c>
      <c r="S36" s="368" t="s">
        <v>16</v>
      </c>
    </row>
    <row r="37" spans="2:19" ht="16.5" hidden="1" customHeight="1" x14ac:dyDescent="0.35">
      <c r="B37" s="366" t="s">
        <v>226</v>
      </c>
      <c r="C37" s="367" t="s">
        <v>269</v>
      </c>
      <c r="D37" s="367">
        <v>29</v>
      </c>
      <c r="E37" s="368" t="s">
        <v>16</v>
      </c>
      <c r="F37" s="368" t="s">
        <v>16</v>
      </c>
      <c r="G37" s="368" t="s">
        <v>16</v>
      </c>
      <c r="H37" s="368" t="s">
        <v>16</v>
      </c>
      <c r="I37" s="368" t="s">
        <v>16</v>
      </c>
      <c r="J37" s="368" t="s">
        <v>16</v>
      </c>
      <c r="K37" s="369">
        <v>0</v>
      </c>
      <c r="L37" s="369" t="s">
        <v>16</v>
      </c>
      <c r="M37" s="369" t="s">
        <v>16</v>
      </c>
      <c r="N37" s="370" t="s">
        <v>308</v>
      </c>
      <c r="O37" s="371">
        <v>0</v>
      </c>
      <c r="P37" s="372" t="e">
        <v>#VALUE!</v>
      </c>
      <c r="Q37" s="368" t="s">
        <v>16</v>
      </c>
      <c r="R37" s="368" t="s">
        <v>16</v>
      </c>
      <c r="S37" s="368" t="s">
        <v>16</v>
      </c>
    </row>
    <row r="38" spans="2:19" ht="16.5" hidden="1" customHeight="1" x14ac:dyDescent="0.35">
      <c r="B38" s="366" t="s">
        <v>226</v>
      </c>
      <c r="C38" s="367" t="s">
        <v>269</v>
      </c>
      <c r="D38" s="367">
        <v>30</v>
      </c>
      <c r="E38" s="368" t="s">
        <v>16</v>
      </c>
      <c r="F38" s="368" t="s">
        <v>16</v>
      </c>
      <c r="G38" s="368" t="s">
        <v>16</v>
      </c>
      <c r="H38" s="368" t="s">
        <v>16</v>
      </c>
      <c r="I38" s="368" t="s">
        <v>16</v>
      </c>
      <c r="J38" s="368" t="s">
        <v>16</v>
      </c>
      <c r="K38" s="369">
        <v>0</v>
      </c>
      <c r="L38" s="369" t="s">
        <v>16</v>
      </c>
      <c r="M38" s="369" t="s">
        <v>16</v>
      </c>
      <c r="N38" s="370" t="s">
        <v>308</v>
      </c>
      <c r="O38" s="371">
        <v>0</v>
      </c>
      <c r="P38" s="372" t="e">
        <v>#VALUE!</v>
      </c>
      <c r="Q38" s="368" t="s">
        <v>16</v>
      </c>
      <c r="R38" s="368" t="s">
        <v>16</v>
      </c>
      <c r="S38" s="368" t="s">
        <v>16</v>
      </c>
    </row>
    <row r="39" spans="2:19" ht="16.5" hidden="1" customHeight="1" x14ac:dyDescent="0.35">
      <c r="B39" s="366" t="s">
        <v>226</v>
      </c>
      <c r="C39" s="367" t="s">
        <v>269</v>
      </c>
      <c r="D39" s="367">
        <v>31</v>
      </c>
      <c r="E39" s="368" t="s">
        <v>16</v>
      </c>
      <c r="F39" s="368" t="s">
        <v>16</v>
      </c>
      <c r="G39" s="368" t="s">
        <v>16</v>
      </c>
      <c r="H39" s="368" t="s">
        <v>16</v>
      </c>
      <c r="I39" s="368" t="s">
        <v>16</v>
      </c>
      <c r="J39" s="368" t="s">
        <v>16</v>
      </c>
      <c r="K39" s="369">
        <v>0</v>
      </c>
      <c r="L39" s="369" t="s">
        <v>16</v>
      </c>
      <c r="M39" s="369" t="s">
        <v>16</v>
      </c>
      <c r="N39" s="370" t="s">
        <v>308</v>
      </c>
      <c r="O39" s="371">
        <v>0</v>
      </c>
      <c r="P39" s="372" t="e">
        <v>#VALUE!</v>
      </c>
      <c r="Q39" s="368" t="s">
        <v>16</v>
      </c>
      <c r="R39" s="368" t="s">
        <v>16</v>
      </c>
      <c r="S39" s="368" t="s">
        <v>16</v>
      </c>
    </row>
    <row r="40" spans="2:19" ht="16.5" hidden="1" customHeight="1" x14ac:dyDescent="0.35">
      <c r="B40" s="366" t="s">
        <v>226</v>
      </c>
      <c r="C40" s="367" t="s">
        <v>269</v>
      </c>
      <c r="D40" s="367">
        <v>32</v>
      </c>
      <c r="E40" s="368" t="s">
        <v>16</v>
      </c>
      <c r="F40" s="368" t="s">
        <v>16</v>
      </c>
      <c r="G40" s="368" t="s">
        <v>16</v>
      </c>
      <c r="H40" s="368" t="s">
        <v>16</v>
      </c>
      <c r="I40" s="368" t="s">
        <v>16</v>
      </c>
      <c r="J40" s="368" t="s">
        <v>16</v>
      </c>
      <c r="K40" s="369">
        <v>0</v>
      </c>
      <c r="L40" s="369" t="s">
        <v>16</v>
      </c>
      <c r="M40" s="369" t="s">
        <v>16</v>
      </c>
      <c r="N40" s="370" t="s">
        <v>308</v>
      </c>
      <c r="O40" s="371">
        <v>0</v>
      </c>
      <c r="P40" s="372" t="e">
        <v>#VALUE!</v>
      </c>
      <c r="Q40" s="368" t="s">
        <v>16</v>
      </c>
      <c r="R40" s="368" t="s">
        <v>16</v>
      </c>
      <c r="S40" s="368" t="s">
        <v>16</v>
      </c>
    </row>
    <row r="41" spans="2:19" ht="16.5" hidden="1" customHeight="1" x14ac:dyDescent="0.35">
      <c r="B41" s="366" t="s">
        <v>226</v>
      </c>
      <c r="C41" s="367" t="s">
        <v>269</v>
      </c>
      <c r="D41" s="367">
        <v>33</v>
      </c>
      <c r="E41" s="368" t="s">
        <v>16</v>
      </c>
      <c r="F41" s="368" t="s">
        <v>16</v>
      </c>
      <c r="G41" s="368" t="s">
        <v>16</v>
      </c>
      <c r="H41" s="368" t="s">
        <v>16</v>
      </c>
      <c r="I41" s="368" t="s">
        <v>16</v>
      </c>
      <c r="J41" s="368" t="s">
        <v>16</v>
      </c>
      <c r="K41" s="369">
        <v>0</v>
      </c>
      <c r="L41" s="369" t="s">
        <v>16</v>
      </c>
      <c r="M41" s="369" t="s">
        <v>16</v>
      </c>
      <c r="N41" s="370" t="s">
        <v>308</v>
      </c>
      <c r="O41" s="371">
        <v>0</v>
      </c>
      <c r="P41" s="372" t="e">
        <v>#VALUE!</v>
      </c>
      <c r="Q41" s="368" t="s">
        <v>16</v>
      </c>
      <c r="R41" s="368" t="s">
        <v>16</v>
      </c>
      <c r="S41" s="368" t="s">
        <v>16</v>
      </c>
    </row>
    <row r="42" spans="2:19" ht="16.5" hidden="1" customHeight="1" x14ac:dyDescent="0.35">
      <c r="B42" s="366" t="s">
        <v>226</v>
      </c>
      <c r="C42" s="367" t="s">
        <v>269</v>
      </c>
      <c r="D42" s="367">
        <v>34</v>
      </c>
      <c r="E42" s="368" t="s">
        <v>16</v>
      </c>
      <c r="F42" s="368" t="s">
        <v>16</v>
      </c>
      <c r="G42" s="368" t="s">
        <v>16</v>
      </c>
      <c r="H42" s="368" t="s">
        <v>16</v>
      </c>
      <c r="I42" s="368" t="s">
        <v>16</v>
      </c>
      <c r="J42" s="368" t="s">
        <v>16</v>
      </c>
      <c r="K42" s="369">
        <v>0</v>
      </c>
      <c r="L42" s="369" t="s">
        <v>16</v>
      </c>
      <c r="M42" s="369" t="s">
        <v>16</v>
      </c>
      <c r="N42" s="370" t="s">
        <v>308</v>
      </c>
      <c r="O42" s="371">
        <v>0</v>
      </c>
      <c r="P42" s="372" t="e">
        <v>#VALUE!</v>
      </c>
      <c r="Q42" s="368" t="s">
        <v>16</v>
      </c>
      <c r="R42" s="368" t="s">
        <v>16</v>
      </c>
      <c r="S42" s="368" t="s">
        <v>16</v>
      </c>
    </row>
    <row r="43" spans="2:19" ht="16.5" hidden="1" customHeight="1" x14ac:dyDescent="0.35">
      <c r="B43" s="366" t="s">
        <v>226</v>
      </c>
      <c r="C43" s="367" t="s">
        <v>269</v>
      </c>
      <c r="D43" s="367">
        <v>35</v>
      </c>
      <c r="E43" s="368" t="s">
        <v>16</v>
      </c>
      <c r="F43" s="368" t="s">
        <v>16</v>
      </c>
      <c r="G43" s="368" t="s">
        <v>16</v>
      </c>
      <c r="H43" s="368" t="s">
        <v>16</v>
      </c>
      <c r="I43" s="368" t="s">
        <v>16</v>
      </c>
      <c r="J43" s="368" t="s">
        <v>16</v>
      </c>
      <c r="K43" s="369">
        <v>0</v>
      </c>
      <c r="L43" s="369" t="s">
        <v>16</v>
      </c>
      <c r="M43" s="369" t="s">
        <v>16</v>
      </c>
      <c r="N43" s="370" t="s">
        <v>308</v>
      </c>
      <c r="O43" s="371">
        <v>0</v>
      </c>
      <c r="P43" s="372" t="e">
        <v>#VALUE!</v>
      </c>
      <c r="Q43" s="368" t="s">
        <v>16</v>
      </c>
      <c r="R43" s="368" t="s">
        <v>16</v>
      </c>
      <c r="S43" s="368" t="s">
        <v>16</v>
      </c>
    </row>
    <row r="44" spans="2:19" ht="16.5" hidden="1" customHeight="1" x14ac:dyDescent="0.35">
      <c r="B44" s="366" t="s">
        <v>226</v>
      </c>
      <c r="C44" s="367" t="s">
        <v>269</v>
      </c>
      <c r="D44" s="367">
        <v>36</v>
      </c>
      <c r="E44" s="368" t="s">
        <v>16</v>
      </c>
      <c r="F44" s="368" t="s">
        <v>16</v>
      </c>
      <c r="G44" s="368" t="s">
        <v>16</v>
      </c>
      <c r="H44" s="368" t="s">
        <v>16</v>
      </c>
      <c r="I44" s="368" t="s">
        <v>16</v>
      </c>
      <c r="J44" s="368" t="s">
        <v>16</v>
      </c>
      <c r="K44" s="369">
        <v>0</v>
      </c>
      <c r="L44" s="369" t="s">
        <v>16</v>
      </c>
      <c r="M44" s="369" t="s">
        <v>16</v>
      </c>
      <c r="N44" s="370" t="s">
        <v>308</v>
      </c>
      <c r="O44" s="371">
        <v>0</v>
      </c>
      <c r="P44" s="372" t="e">
        <v>#VALUE!</v>
      </c>
      <c r="Q44" s="368" t="s">
        <v>16</v>
      </c>
      <c r="R44" s="368" t="s">
        <v>16</v>
      </c>
      <c r="S44" s="368" t="s">
        <v>16</v>
      </c>
    </row>
    <row r="45" spans="2:19" ht="16.5" hidden="1" customHeight="1" x14ac:dyDescent="0.35">
      <c r="B45" s="366" t="s">
        <v>226</v>
      </c>
      <c r="C45" s="367" t="s">
        <v>269</v>
      </c>
      <c r="D45" s="367">
        <v>37</v>
      </c>
      <c r="E45" s="368" t="s">
        <v>16</v>
      </c>
      <c r="F45" s="368" t="s">
        <v>16</v>
      </c>
      <c r="G45" s="368" t="s">
        <v>16</v>
      </c>
      <c r="H45" s="368" t="s">
        <v>16</v>
      </c>
      <c r="I45" s="368" t="s">
        <v>16</v>
      </c>
      <c r="J45" s="368" t="s">
        <v>16</v>
      </c>
      <c r="K45" s="369">
        <v>0</v>
      </c>
      <c r="L45" s="369" t="s">
        <v>16</v>
      </c>
      <c r="M45" s="369" t="s">
        <v>16</v>
      </c>
      <c r="N45" s="370" t="s">
        <v>308</v>
      </c>
      <c r="O45" s="371">
        <v>0</v>
      </c>
      <c r="P45" s="372" t="e">
        <v>#VALUE!</v>
      </c>
      <c r="Q45" s="368" t="s">
        <v>16</v>
      </c>
      <c r="R45" s="368" t="s">
        <v>16</v>
      </c>
      <c r="S45" s="368" t="s">
        <v>16</v>
      </c>
    </row>
    <row r="46" spans="2:19" ht="16.5" hidden="1" customHeight="1" x14ac:dyDescent="0.35">
      <c r="B46" s="366" t="s">
        <v>226</v>
      </c>
      <c r="C46" s="367" t="s">
        <v>269</v>
      </c>
      <c r="D46" s="367">
        <v>38</v>
      </c>
      <c r="E46" s="368" t="s">
        <v>16</v>
      </c>
      <c r="F46" s="368" t="s">
        <v>16</v>
      </c>
      <c r="G46" s="368" t="s">
        <v>16</v>
      </c>
      <c r="H46" s="368" t="s">
        <v>16</v>
      </c>
      <c r="I46" s="368" t="s">
        <v>16</v>
      </c>
      <c r="J46" s="368" t="s">
        <v>16</v>
      </c>
      <c r="K46" s="369">
        <v>0</v>
      </c>
      <c r="L46" s="369" t="s">
        <v>16</v>
      </c>
      <c r="M46" s="369" t="s">
        <v>16</v>
      </c>
      <c r="N46" s="370" t="s">
        <v>308</v>
      </c>
      <c r="O46" s="371">
        <v>0</v>
      </c>
      <c r="P46" s="372" t="e">
        <v>#VALUE!</v>
      </c>
      <c r="Q46" s="368" t="s">
        <v>16</v>
      </c>
      <c r="R46" s="368" t="s">
        <v>16</v>
      </c>
      <c r="S46" s="368" t="s">
        <v>16</v>
      </c>
    </row>
    <row r="47" spans="2:19" ht="16.5" hidden="1" customHeight="1" x14ac:dyDescent="0.35">
      <c r="B47" s="366" t="s">
        <v>226</v>
      </c>
      <c r="C47" s="367" t="s">
        <v>269</v>
      </c>
      <c r="D47" s="367">
        <v>39</v>
      </c>
      <c r="E47" s="368" t="s">
        <v>16</v>
      </c>
      <c r="F47" s="368" t="s">
        <v>16</v>
      </c>
      <c r="G47" s="368" t="s">
        <v>16</v>
      </c>
      <c r="H47" s="368" t="s">
        <v>16</v>
      </c>
      <c r="I47" s="368" t="s">
        <v>16</v>
      </c>
      <c r="J47" s="368" t="s">
        <v>16</v>
      </c>
      <c r="K47" s="369">
        <v>0</v>
      </c>
      <c r="L47" s="369" t="s">
        <v>16</v>
      </c>
      <c r="M47" s="369" t="s">
        <v>16</v>
      </c>
      <c r="N47" s="370" t="s">
        <v>308</v>
      </c>
      <c r="O47" s="371">
        <v>0</v>
      </c>
      <c r="P47" s="372" t="e">
        <v>#VALUE!</v>
      </c>
      <c r="Q47" s="368" t="s">
        <v>16</v>
      </c>
      <c r="R47" s="368" t="s">
        <v>16</v>
      </c>
      <c r="S47" s="368" t="s">
        <v>16</v>
      </c>
    </row>
    <row r="48" spans="2:19" ht="16.5" hidden="1" customHeight="1" x14ac:dyDescent="0.35">
      <c r="B48" s="366" t="s">
        <v>226</v>
      </c>
      <c r="C48" s="367" t="s">
        <v>269</v>
      </c>
      <c r="D48" s="367">
        <v>40</v>
      </c>
      <c r="E48" s="368" t="s">
        <v>16</v>
      </c>
      <c r="F48" s="368" t="s">
        <v>16</v>
      </c>
      <c r="G48" s="368" t="s">
        <v>16</v>
      </c>
      <c r="H48" s="368" t="s">
        <v>16</v>
      </c>
      <c r="I48" s="368" t="s">
        <v>16</v>
      </c>
      <c r="J48" s="368" t="s">
        <v>16</v>
      </c>
      <c r="K48" s="369">
        <v>0</v>
      </c>
      <c r="L48" s="369" t="s">
        <v>16</v>
      </c>
      <c r="M48" s="369" t="s">
        <v>16</v>
      </c>
      <c r="N48" s="370" t="s">
        <v>308</v>
      </c>
      <c r="O48" s="371">
        <v>0</v>
      </c>
      <c r="P48" s="372" t="e">
        <v>#VALUE!</v>
      </c>
      <c r="Q48" s="368" t="s">
        <v>16</v>
      </c>
      <c r="R48" s="368" t="s">
        <v>16</v>
      </c>
      <c r="S48" s="368" t="s">
        <v>16</v>
      </c>
    </row>
    <row r="49" spans="2:19" ht="16.5" hidden="1" customHeight="1" x14ac:dyDescent="0.35">
      <c r="B49" s="366" t="s">
        <v>226</v>
      </c>
      <c r="C49" s="367" t="s">
        <v>269</v>
      </c>
      <c r="D49" s="367">
        <v>41</v>
      </c>
      <c r="E49" s="368" t="s">
        <v>16</v>
      </c>
      <c r="F49" s="368" t="s">
        <v>16</v>
      </c>
      <c r="G49" s="368" t="s">
        <v>16</v>
      </c>
      <c r="H49" s="368" t="s">
        <v>16</v>
      </c>
      <c r="I49" s="368" t="s">
        <v>16</v>
      </c>
      <c r="J49" s="368" t="s">
        <v>16</v>
      </c>
      <c r="K49" s="369">
        <v>0</v>
      </c>
      <c r="L49" s="369" t="s">
        <v>16</v>
      </c>
      <c r="M49" s="369" t="s">
        <v>16</v>
      </c>
      <c r="N49" s="370" t="s">
        <v>308</v>
      </c>
      <c r="O49" s="371">
        <v>0</v>
      </c>
      <c r="P49" s="372" t="e">
        <v>#VALUE!</v>
      </c>
      <c r="Q49" s="368" t="s">
        <v>16</v>
      </c>
      <c r="R49" s="368" t="s">
        <v>16</v>
      </c>
      <c r="S49" s="368" t="s">
        <v>16</v>
      </c>
    </row>
    <row r="50" spans="2:19" ht="16.5" hidden="1" customHeight="1" x14ac:dyDescent="0.35">
      <c r="B50" s="366" t="s">
        <v>226</v>
      </c>
      <c r="C50" s="367" t="s">
        <v>269</v>
      </c>
      <c r="D50" s="367">
        <v>42</v>
      </c>
      <c r="E50" s="368" t="s">
        <v>16</v>
      </c>
      <c r="F50" s="368" t="s">
        <v>16</v>
      </c>
      <c r="G50" s="368" t="s">
        <v>16</v>
      </c>
      <c r="H50" s="368" t="s">
        <v>16</v>
      </c>
      <c r="I50" s="368" t="s">
        <v>16</v>
      </c>
      <c r="J50" s="368" t="s">
        <v>16</v>
      </c>
      <c r="K50" s="369">
        <v>0</v>
      </c>
      <c r="L50" s="369" t="s">
        <v>16</v>
      </c>
      <c r="M50" s="369" t="s">
        <v>16</v>
      </c>
      <c r="N50" s="370" t="s">
        <v>308</v>
      </c>
      <c r="O50" s="371">
        <v>0</v>
      </c>
      <c r="P50" s="372" t="e">
        <v>#VALUE!</v>
      </c>
      <c r="Q50" s="368" t="s">
        <v>16</v>
      </c>
      <c r="R50" s="368" t="s">
        <v>16</v>
      </c>
      <c r="S50" s="368" t="s">
        <v>16</v>
      </c>
    </row>
    <row r="51" spans="2:19" ht="16.5" hidden="1" customHeight="1" x14ac:dyDescent="0.35">
      <c r="B51" s="366" t="s">
        <v>226</v>
      </c>
      <c r="C51" s="367" t="s">
        <v>269</v>
      </c>
      <c r="D51" s="367">
        <v>43</v>
      </c>
      <c r="E51" s="368" t="s">
        <v>16</v>
      </c>
      <c r="F51" s="368" t="s">
        <v>16</v>
      </c>
      <c r="G51" s="368" t="s">
        <v>16</v>
      </c>
      <c r="H51" s="368" t="s">
        <v>16</v>
      </c>
      <c r="I51" s="368" t="s">
        <v>16</v>
      </c>
      <c r="J51" s="368" t="s">
        <v>16</v>
      </c>
      <c r="K51" s="369">
        <v>0</v>
      </c>
      <c r="L51" s="369" t="s">
        <v>16</v>
      </c>
      <c r="M51" s="369" t="s">
        <v>16</v>
      </c>
      <c r="N51" s="370" t="s">
        <v>308</v>
      </c>
      <c r="O51" s="371">
        <v>0</v>
      </c>
      <c r="P51" s="372" t="e">
        <v>#VALUE!</v>
      </c>
      <c r="Q51" s="368" t="s">
        <v>16</v>
      </c>
      <c r="R51" s="368" t="s">
        <v>16</v>
      </c>
      <c r="S51" s="368" t="s">
        <v>16</v>
      </c>
    </row>
    <row r="52" spans="2:19" ht="16.5" hidden="1" customHeight="1" x14ac:dyDescent="0.35">
      <c r="B52" s="366" t="s">
        <v>226</v>
      </c>
      <c r="C52" s="367" t="s">
        <v>269</v>
      </c>
      <c r="D52" s="367">
        <v>44</v>
      </c>
      <c r="E52" s="368" t="s">
        <v>16</v>
      </c>
      <c r="F52" s="368" t="s">
        <v>16</v>
      </c>
      <c r="G52" s="368" t="s">
        <v>16</v>
      </c>
      <c r="H52" s="368" t="s">
        <v>16</v>
      </c>
      <c r="I52" s="368" t="s">
        <v>16</v>
      </c>
      <c r="J52" s="368" t="s">
        <v>16</v>
      </c>
      <c r="K52" s="369">
        <v>0</v>
      </c>
      <c r="L52" s="369" t="s">
        <v>16</v>
      </c>
      <c r="M52" s="369" t="s">
        <v>16</v>
      </c>
      <c r="N52" s="370" t="s">
        <v>308</v>
      </c>
      <c r="O52" s="371">
        <v>0</v>
      </c>
      <c r="P52" s="372" t="e">
        <v>#VALUE!</v>
      </c>
      <c r="Q52" s="368" t="s">
        <v>16</v>
      </c>
      <c r="R52" s="368" t="s">
        <v>16</v>
      </c>
      <c r="S52" s="368" t="s">
        <v>16</v>
      </c>
    </row>
    <row r="53" spans="2:19" ht="16.5" hidden="1" customHeight="1" x14ac:dyDescent="0.35">
      <c r="B53" s="366" t="s">
        <v>226</v>
      </c>
      <c r="C53" s="367" t="s">
        <v>269</v>
      </c>
      <c r="D53" s="367">
        <v>45</v>
      </c>
      <c r="E53" s="368" t="s">
        <v>16</v>
      </c>
      <c r="F53" s="368" t="s">
        <v>16</v>
      </c>
      <c r="G53" s="368" t="s">
        <v>16</v>
      </c>
      <c r="H53" s="368" t="s">
        <v>16</v>
      </c>
      <c r="I53" s="368" t="s">
        <v>16</v>
      </c>
      <c r="J53" s="368" t="s">
        <v>16</v>
      </c>
      <c r="K53" s="369">
        <v>0</v>
      </c>
      <c r="L53" s="369" t="s">
        <v>16</v>
      </c>
      <c r="M53" s="369" t="s">
        <v>16</v>
      </c>
      <c r="N53" s="370" t="s">
        <v>308</v>
      </c>
      <c r="O53" s="371">
        <v>0</v>
      </c>
      <c r="P53" s="372" t="e">
        <v>#VALUE!</v>
      </c>
      <c r="Q53" s="368" t="s">
        <v>16</v>
      </c>
      <c r="R53" s="368" t="s">
        <v>16</v>
      </c>
      <c r="S53" s="368" t="s">
        <v>16</v>
      </c>
    </row>
    <row r="54" spans="2:19" ht="15.5" hidden="1" x14ac:dyDescent="0.35">
      <c r="B54" s="366" t="s">
        <v>226</v>
      </c>
      <c r="C54" s="367" t="s">
        <v>269</v>
      </c>
      <c r="D54" s="367">
        <v>46</v>
      </c>
      <c r="E54" s="368" t="s">
        <v>16</v>
      </c>
      <c r="F54" s="368" t="s">
        <v>16</v>
      </c>
      <c r="G54" s="368" t="s">
        <v>16</v>
      </c>
      <c r="H54" s="368" t="s">
        <v>16</v>
      </c>
      <c r="I54" s="368" t="s">
        <v>16</v>
      </c>
      <c r="J54" s="368" t="s">
        <v>16</v>
      </c>
      <c r="K54" s="369">
        <v>0</v>
      </c>
      <c r="L54" s="369" t="s">
        <v>16</v>
      </c>
      <c r="M54" s="369" t="s">
        <v>16</v>
      </c>
      <c r="N54" s="370" t="s">
        <v>308</v>
      </c>
      <c r="O54" s="371">
        <v>0</v>
      </c>
      <c r="P54" s="372" t="e">
        <v>#VALUE!</v>
      </c>
      <c r="Q54" s="368" t="s">
        <v>16</v>
      </c>
      <c r="R54" s="368" t="s">
        <v>16</v>
      </c>
      <c r="S54" s="368" t="s">
        <v>16</v>
      </c>
    </row>
    <row r="55" spans="2:19" ht="15.5" hidden="1" x14ac:dyDescent="0.35">
      <c r="B55" s="366" t="s">
        <v>226</v>
      </c>
      <c r="C55" s="367" t="s">
        <v>269</v>
      </c>
      <c r="D55" s="367">
        <v>47</v>
      </c>
      <c r="E55" s="368" t="s">
        <v>16</v>
      </c>
      <c r="F55" s="368" t="s">
        <v>16</v>
      </c>
      <c r="G55" s="368" t="s">
        <v>16</v>
      </c>
      <c r="H55" s="368" t="s">
        <v>16</v>
      </c>
      <c r="I55" s="368" t="s">
        <v>16</v>
      </c>
      <c r="J55" s="368" t="s">
        <v>16</v>
      </c>
      <c r="K55" s="369">
        <v>0</v>
      </c>
      <c r="L55" s="369" t="s">
        <v>16</v>
      </c>
      <c r="M55" s="369" t="s">
        <v>16</v>
      </c>
      <c r="N55" s="370" t="s">
        <v>308</v>
      </c>
      <c r="O55" s="371">
        <v>0</v>
      </c>
      <c r="P55" s="372" t="e">
        <v>#VALUE!</v>
      </c>
      <c r="Q55" s="368" t="s">
        <v>16</v>
      </c>
      <c r="R55" s="368" t="s">
        <v>16</v>
      </c>
      <c r="S55" s="368" t="s">
        <v>16</v>
      </c>
    </row>
    <row r="56" spans="2:19" ht="15.5" hidden="1" x14ac:dyDescent="0.35">
      <c r="B56" s="366" t="s">
        <v>226</v>
      </c>
      <c r="C56" s="367" t="s">
        <v>269</v>
      </c>
      <c r="D56" s="367">
        <v>48</v>
      </c>
      <c r="E56" s="368" t="s">
        <v>16</v>
      </c>
      <c r="F56" s="368" t="s">
        <v>16</v>
      </c>
      <c r="G56" s="368" t="s">
        <v>16</v>
      </c>
      <c r="H56" s="368" t="s">
        <v>16</v>
      </c>
      <c r="I56" s="368" t="s">
        <v>16</v>
      </c>
      <c r="J56" s="368" t="s">
        <v>16</v>
      </c>
      <c r="K56" s="369">
        <v>0</v>
      </c>
      <c r="L56" s="369" t="s">
        <v>16</v>
      </c>
      <c r="M56" s="369" t="s">
        <v>16</v>
      </c>
      <c r="N56" s="370" t="s">
        <v>308</v>
      </c>
      <c r="O56" s="371">
        <v>0</v>
      </c>
      <c r="P56" s="372" t="e">
        <v>#VALUE!</v>
      </c>
      <c r="Q56" s="368" t="s">
        <v>16</v>
      </c>
      <c r="R56" s="368" t="s">
        <v>16</v>
      </c>
      <c r="S56" s="368" t="s">
        <v>16</v>
      </c>
    </row>
    <row r="57" spans="2:19" ht="15.5" hidden="1" x14ac:dyDescent="0.35">
      <c r="B57" s="366" t="s">
        <v>226</v>
      </c>
      <c r="C57" s="367" t="s">
        <v>269</v>
      </c>
      <c r="D57" s="367">
        <v>49</v>
      </c>
      <c r="E57" s="368" t="s">
        <v>16</v>
      </c>
      <c r="F57" s="368" t="s">
        <v>16</v>
      </c>
      <c r="G57" s="368" t="s">
        <v>16</v>
      </c>
      <c r="H57" s="368" t="s">
        <v>16</v>
      </c>
      <c r="I57" s="368" t="s">
        <v>16</v>
      </c>
      <c r="J57" s="368" t="s">
        <v>16</v>
      </c>
      <c r="K57" s="369">
        <v>0</v>
      </c>
      <c r="L57" s="369" t="s">
        <v>16</v>
      </c>
      <c r="M57" s="369" t="s">
        <v>16</v>
      </c>
      <c r="N57" s="370" t="s">
        <v>308</v>
      </c>
      <c r="O57" s="371">
        <v>0</v>
      </c>
      <c r="P57" s="372" t="e">
        <v>#VALUE!</v>
      </c>
      <c r="Q57" s="368" t="s">
        <v>16</v>
      </c>
      <c r="R57" s="368" t="s">
        <v>16</v>
      </c>
      <c r="S57" s="368" t="s">
        <v>16</v>
      </c>
    </row>
    <row r="58" spans="2:19" ht="15.5" hidden="1" x14ac:dyDescent="0.35">
      <c r="B58" s="366" t="s">
        <v>226</v>
      </c>
      <c r="C58" s="367" t="s">
        <v>269</v>
      </c>
      <c r="D58" s="367">
        <v>50</v>
      </c>
      <c r="E58" s="368" t="s">
        <v>16</v>
      </c>
      <c r="F58" s="368" t="s">
        <v>16</v>
      </c>
      <c r="G58" s="368" t="s">
        <v>16</v>
      </c>
      <c r="H58" s="368" t="s">
        <v>16</v>
      </c>
      <c r="I58" s="368" t="s">
        <v>16</v>
      </c>
      <c r="J58" s="368" t="s">
        <v>16</v>
      </c>
      <c r="K58" s="369">
        <v>0</v>
      </c>
      <c r="L58" s="369" t="s">
        <v>16</v>
      </c>
      <c r="M58" s="369" t="s">
        <v>16</v>
      </c>
      <c r="N58" s="370" t="s">
        <v>308</v>
      </c>
      <c r="O58" s="371">
        <v>0</v>
      </c>
      <c r="P58" s="372" t="e">
        <v>#VALUE!</v>
      </c>
      <c r="Q58" s="368" t="s">
        <v>16</v>
      </c>
      <c r="R58" s="368" t="s">
        <v>16</v>
      </c>
      <c r="S58" s="368" t="s">
        <v>16</v>
      </c>
    </row>
    <row r="59" spans="2:19" ht="15.5" hidden="1" x14ac:dyDescent="0.35">
      <c r="B59" s="366" t="s">
        <v>226</v>
      </c>
      <c r="C59" s="367" t="s">
        <v>269</v>
      </c>
      <c r="D59" s="367">
        <v>51</v>
      </c>
      <c r="E59" s="368" t="s">
        <v>16</v>
      </c>
      <c r="F59" s="368" t="s">
        <v>16</v>
      </c>
      <c r="G59" s="368" t="s">
        <v>16</v>
      </c>
      <c r="H59" s="368" t="s">
        <v>16</v>
      </c>
      <c r="I59" s="368" t="s">
        <v>16</v>
      </c>
      <c r="J59" s="368" t="s">
        <v>16</v>
      </c>
      <c r="K59" s="369">
        <v>0</v>
      </c>
      <c r="L59" s="369" t="s">
        <v>16</v>
      </c>
      <c r="M59" s="369" t="s">
        <v>16</v>
      </c>
      <c r="N59" s="370" t="s">
        <v>308</v>
      </c>
      <c r="O59" s="371">
        <v>0</v>
      </c>
      <c r="P59" s="372" t="e">
        <v>#VALUE!</v>
      </c>
      <c r="Q59" s="368" t="s">
        <v>16</v>
      </c>
      <c r="R59" s="368" t="s">
        <v>16</v>
      </c>
      <c r="S59" s="368" t="s">
        <v>16</v>
      </c>
    </row>
    <row r="60" spans="2:19" ht="15.5" hidden="1" x14ac:dyDescent="0.35">
      <c r="B60" s="366" t="s">
        <v>226</v>
      </c>
      <c r="C60" s="367" t="s">
        <v>269</v>
      </c>
      <c r="D60" s="367">
        <v>52</v>
      </c>
      <c r="E60" s="368" t="s">
        <v>16</v>
      </c>
      <c r="F60" s="368" t="s">
        <v>16</v>
      </c>
      <c r="G60" s="368" t="s">
        <v>16</v>
      </c>
      <c r="H60" s="368" t="s">
        <v>16</v>
      </c>
      <c r="I60" s="368" t="s">
        <v>16</v>
      </c>
      <c r="J60" s="368" t="s">
        <v>16</v>
      </c>
      <c r="K60" s="369">
        <v>0</v>
      </c>
      <c r="L60" s="369" t="s">
        <v>16</v>
      </c>
      <c r="M60" s="369" t="s">
        <v>16</v>
      </c>
      <c r="N60" s="370" t="s">
        <v>308</v>
      </c>
      <c r="O60" s="371">
        <v>0</v>
      </c>
      <c r="P60" s="372" t="e">
        <v>#VALUE!</v>
      </c>
      <c r="Q60" s="368" t="s">
        <v>16</v>
      </c>
      <c r="R60" s="368" t="s">
        <v>16</v>
      </c>
      <c r="S60" s="368" t="s">
        <v>16</v>
      </c>
    </row>
    <row r="61" spans="2:19" ht="15.5" hidden="1" x14ac:dyDescent="0.35">
      <c r="B61" s="366" t="s">
        <v>226</v>
      </c>
      <c r="C61" s="367" t="s">
        <v>269</v>
      </c>
      <c r="D61" s="367">
        <v>53</v>
      </c>
      <c r="E61" s="368" t="s">
        <v>16</v>
      </c>
      <c r="F61" s="368" t="s">
        <v>16</v>
      </c>
      <c r="G61" s="368" t="s">
        <v>16</v>
      </c>
      <c r="H61" s="368" t="s">
        <v>16</v>
      </c>
      <c r="I61" s="368" t="s">
        <v>16</v>
      </c>
      <c r="J61" s="368" t="s">
        <v>16</v>
      </c>
      <c r="K61" s="369">
        <v>0</v>
      </c>
      <c r="L61" s="369" t="s">
        <v>16</v>
      </c>
      <c r="M61" s="369" t="s">
        <v>16</v>
      </c>
      <c r="N61" s="370" t="s">
        <v>308</v>
      </c>
      <c r="O61" s="371">
        <v>0</v>
      </c>
      <c r="P61" s="372" t="e">
        <v>#VALUE!</v>
      </c>
      <c r="Q61" s="368" t="s">
        <v>16</v>
      </c>
      <c r="R61" s="368" t="s">
        <v>16</v>
      </c>
      <c r="S61" s="368" t="s">
        <v>16</v>
      </c>
    </row>
    <row r="62" spans="2:19" ht="15.5" hidden="1" x14ac:dyDescent="0.35">
      <c r="B62" s="366" t="s">
        <v>226</v>
      </c>
      <c r="C62" s="367" t="s">
        <v>269</v>
      </c>
      <c r="D62" s="367">
        <v>54</v>
      </c>
      <c r="E62" s="368" t="s">
        <v>16</v>
      </c>
      <c r="F62" s="368" t="s">
        <v>16</v>
      </c>
      <c r="G62" s="368" t="s">
        <v>16</v>
      </c>
      <c r="H62" s="368" t="s">
        <v>16</v>
      </c>
      <c r="I62" s="368" t="s">
        <v>16</v>
      </c>
      <c r="J62" s="368" t="s">
        <v>16</v>
      </c>
      <c r="K62" s="369">
        <v>0</v>
      </c>
      <c r="L62" s="369" t="s">
        <v>16</v>
      </c>
      <c r="M62" s="369" t="s">
        <v>16</v>
      </c>
      <c r="N62" s="370" t="s">
        <v>308</v>
      </c>
      <c r="O62" s="371">
        <v>0</v>
      </c>
      <c r="P62" s="372" t="e">
        <v>#VALUE!</v>
      </c>
      <c r="Q62" s="368" t="s">
        <v>16</v>
      </c>
      <c r="R62" s="368" t="s">
        <v>16</v>
      </c>
      <c r="S62" s="368" t="s">
        <v>16</v>
      </c>
    </row>
    <row r="63" spans="2:19" ht="15.5" hidden="1" x14ac:dyDescent="0.35">
      <c r="B63" s="366" t="s">
        <v>226</v>
      </c>
      <c r="C63" s="367" t="s">
        <v>269</v>
      </c>
      <c r="D63" s="367">
        <v>55</v>
      </c>
      <c r="E63" s="368" t="s">
        <v>16</v>
      </c>
      <c r="F63" s="368" t="s">
        <v>16</v>
      </c>
      <c r="G63" s="368" t="s">
        <v>16</v>
      </c>
      <c r="H63" s="368" t="s">
        <v>16</v>
      </c>
      <c r="I63" s="368" t="s">
        <v>16</v>
      </c>
      <c r="J63" s="368" t="s">
        <v>16</v>
      </c>
      <c r="K63" s="369">
        <v>0</v>
      </c>
      <c r="L63" s="369" t="s">
        <v>16</v>
      </c>
      <c r="M63" s="369" t="s">
        <v>16</v>
      </c>
      <c r="N63" s="370" t="s">
        <v>308</v>
      </c>
      <c r="O63" s="371">
        <v>0</v>
      </c>
      <c r="P63" s="372" t="e">
        <v>#VALUE!</v>
      </c>
      <c r="Q63" s="368" t="s">
        <v>16</v>
      </c>
      <c r="R63" s="368" t="s">
        <v>16</v>
      </c>
      <c r="S63" s="368" t="s">
        <v>16</v>
      </c>
    </row>
    <row r="64" spans="2:19" ht="15.5" hidden="1" x14ac:dyDescent="0.35">
      <c r="B64" s="366" t="s">
        <v>226</v>
      </c>
      <c r="C64" s="367" t="s">
        <v>269</v>
      </c>
      <c r="D64" s="367">
        <v>56</v>
      </c>
      <c r="E64" s="368" t="s">
        <v>16</v>
      </c>
      <c r="F64" s="368" t="s">
        <v>16</v>
      </c>
      <c r="G64" s="368" t="s">
        <v>16</v>
      </c>
      <c r="H64" s="368" t="s">
        <v>16</v>
      </c>
      <c r="I64" s="368" t="s">
        <v>16</v>
      </c>
      <c r="J64" s="368" t="s">
        <v>16</v>
      </c>
      <c r="K64" s="369">
        <v>0</v>
      </c>
      <c r="L64" s="369" t="s">
        <v>16</v>
      </c>
      <c r="M64" s="369" t="s">
        <v>16</v>
      </c>
      <c r="N64" s="370" t="s">
        <v>308</v>
      </c>
      <c r="O64" s="371">
        <v>0</v>
      </c>
      <c r="P64" s="372" t="e">
        <v>#VALUE!</v>
      </c>
      <c r="Q64" s="368" t="s">
        <v>16</v>
      </c>
      <c r="R64" s="368" t="s">
        <v>16</v>
      </c>
      <c r="S64" s="368" t="s">
        <v>16</v>
      </c>
    </row>
    <row r="65" spans="2:19" ht="15.5" hidden="1" x14ac:dyDescent="0.35">
      <c r="B65" s="366" t="s">
        <v>226</v>
      </c>
      <c r="C65" s="367" t="s">
        <v>269</v>
      </c>
      <c r="D65" s="367">
        <v>57</v>
      </c>
      <c r="E65" s="368" t="s">
        <v>16</v>
      </c>
      <c r="F65" s="368" t="s">
        <v>16</v>
      </c>
      <c r="G65" s="368" t="s">
        <v>16</v>
      </c>
      <c r="H65" s="368" t="s">
        <v>16</v>
      </c>
      <c r="I65" s="368" t="s">
        <v>16</v>
      </c>
      <c r="J65" s="368" t="s">
        <v>16</v>
      </c>
      <c r="K65" s="369">
        <v>0</v>
      </c>
      <c r="L65" s="369" t="s">
        <v>16</v>
      </c>
      <c r="M65" s="369" t="s">
        <v>16</v>
      </c>
      <c r="N65" s="370" t="s">
        <v>308</v>
      </c>
      <c r="O65" s="371">
        <v>0</v>
      </c>
      <c r="P65" s="372" t="e">
        <v>#VALUE!</v>
      </c>
      <c r="Q65" s="368" t="s">
        <v>16</v>
      </c>
      <c r="R65" s="368" t="s">
        <v>16</v>
      </c>
      <c r="S65" s="368" t="s">
        <v>16</v>
      </c>
    </row>
    <row r="66" spans="2:19" ht="15.5" hidden="1" x14ac:dyDescent="0.35">
      <c r="B66" s="366" t="s">
        <v>226</v>
      </c>
      <c r="C66" s="367" t="s">
        <v>269</v>
      </c>
      <c r="D66" s="367">
        <v>58</v>
      </c>
      <c r="E66" s="368" t="s">
        <v>16</v>
      </c>
      <c r="F66" s="368" t="s">
        <v>16</v>
      </c>
      <c r="G66" s="368" t="s">
        <v>16</v>
      </c>
      <c r="H66" s="368" t="s">
        <v>16</v>
      </c>
      <c r="I66" s="368" t="s">
        <v>16</v>
      </c>
      <c r="J66" s="368" t="s">
        <v>16</v>
      </c>
      <c r="K66" s="369">
        <v>0</v>
      </c>
      <c r="L66" s="369" t="s">
        <v>16</v>
      </c>
      <c r="M66" s="369" t="s">
        <v>16</v>
      </c>
      <c r="N66" s="370" t="s">
        <v>308</v>
      </c>
      <c r="O66" s="371">
        <v>0</v>
      </c>
      <c r="P66" s="372" t="e">
        <v>#VALUE!</v>
      </c>
      <c r="Q66" s="368" t="s">
        <v>16</v>
      </c>
      <c r="R66" s="368" t="s">
        <v>16</v>
      </c>
      <c r="S66" s="368" t="s">
        <v>16</v>
      </c>
    </row>
    <row r="67" spans="2:19" ht="15.5" hidden="1" x14ac:dyDescent="0.35">
      <c r="B67" s="366" t="s">
        <v>226</v>
      </c>
      <c r="C67" s="367" t="s">
        <v>269</v>
      </c>
      <c r="D67" s="367">
        <v>59</v>
      </c>
      <c r="E67" s="368" t="s">
        <v>16</v>
      </c>
      <c r="F67" s="368" t="s">
        <v>16</v>
      </c>
      <c r="G67" s="368" t="s">
        <v>16</v>
      </c>
      <c r="H67" s="368" t="s">
        <v>16</v>
      </c>
      <c r="I67" s="368" t="s">
        <v>16</v>
      </c>
      <c r="J67" s="368" t="s">
        <v>16</v>
      </c>
      <c r="K67" s="369">
        <v>0</v>
      </c>
      <c r="L67" s="369" t="s">
        <v>16</v>
      </c>
      <c r="M67" s="369" t="s">
        <v>16</v>
      </c>
      <c r="N67" s="370" t="s">
        <v>308</v>
      </c>
      <c r="O67" s="371">
        <v>0</v>
      </c>
      <c r="P67" s="372" t="e">
        <v>#VALUE!</v>
      </c>
      <c r="Q67" s="368" t="s">
        <v>16</v>
      </c>
      <c r="R67" s="368" t="s">
        <v>16</v>
      </c>
      <c r="S67" s="368" t="s">
        <v>16</v>
      </c>
    </row>
    <row r="68" spans="2:19" ht="15.5" hidden="1" x14ac:dyDescent="0.35">
      <c r="B68" s="366" t="s">
        <v>226</v>
      </c>
      <c r="C68" s="367" t="s">
        <v>269</v>
      </c>
      <c r="D68" s="367">
        <v>60</v>
      </c>
      <c r="E68" s="368" t="s">
        <v>16</v>
      </c>
      <c r="F68" s="368" t="s">
        <v>16</v>
      </c>
      <c r="G68" s="368" t="s">
        <v>16</v>
      </c>
      <c r="H68" s="368" t="s">
        <v>16</v>
      </c>
      <c r="I68" s="368" t="s">
        <v>16</v>
      </c>
      <c r="J68" s="368" t="s">
        <v>16</v>
      </c>
      <c r="K68" s="369">
        <v>0</v>
      </c>
      <c r="L68" s="369" t="s">
        <v>16</v>
      </c>
      <c r="M68" s="369" t="s">
        <v>16</v>
      </c>
      <c r="N68" s="370" t="s">
        <v>308</v>
      </c>
      <c r="O68" s="371">
        <v>0</v>
      </c>
      <c r="P68" s="372" t="e">
        <v>#VALUE!</v>
      </c>
      <c r="Q68" s="368" t="s">
        <v>16</v>
      </c>
      <c r="R68" s="368" t="s">
        <v>16</v>
      </c>
      <c r="S68" s="368" t="s">
        <v>16</v>
      </c>
    </row>
    <row r="69" spans="2:19" ht="15.5" hidden="1" x14ac:dyDescent="0.35">
      <c r="B69" s="366" t="s">
        <v>226</v>
      </c>
      <c r="C69" s="367" t="s">
        <v>269</v>
      </c>
      <c r="D69" s="367">
        <v>61</v>
      </c>
      <c r="E69" s="368" t="s">
        <v>16</v>
      </c>
      <c r="F69" s="368" t="s">
        <v>16</v>
      </c>
      <c r="G69" s="368" t="s">
        <v>16</v>
      </c>
      <c r="H69" s="368" t="s">
        <v>16</v>
      </c>
      <c r="I69" s="368" t="s">
        <v>16</v>
      </c>
      <c r="J69" s="368" t="s">
        <v>16</v>
      </c>
      <c r="K69" s="369">
        <v>0</v>
      </c>
      <c r="L69" s="369" t="s">
        <v>16</v>
      </c>
      <c r="M69" s="369" t="s">
        <v>16</v>
      </c>
      <c r="N69" s="370" t="s">
        <v>308</v>
      </c>
      <c r="O69" s="371">
        <v>0</v>
      </c>
      <c r="P69" s="372" t="e">
        <v>#VALUE!</v>
      </c>
      <c r="Q69" s="368" t="s">
        <v>16</v>
      </c>
      <c r="R69" s="368" t="s">
        <v>16</v>
      </c>
      <c r="S69" s="368" t="s">
        <v>16</v>
      </c>
    </row>
    <row r="70" spans="2:19" ht="15.5" hidden="1" x14ac:dyDescent="0.35">
      <c r="B70" s="366" t="s">
        <v>226</v>
      </c>
      <c r="C70" s="367" t="s">
        <v>269</v>
      </c>
      <c r="D70" s="367">
        <v>62</v>
      </c>
      <c r="E70" s="368" t="s">
        <v>16</v>
      </c>
      <c r="F70" s="368" t="s">
        <v>16</v>
      </c>
      <c r="G70" s="368" t="s">
        <v>16</v>
      </c>
      <c r="H70" s="368" t="s">
        <v>16</v>
      </c>
      <c r="I70" s="368" t="s">
        <v>16</v>
      </c>
      <c r="J70" s="368" t="s">
        <v>16</v>
      </c>
      <c r="K70" s="369">
        <v>0</v>
      </c>
      <c r="L70" s="369" t="s">
        <v>16</v>
      </c>
      <c r="M70" s="369" t="s">
        <v>16</v>
      </c>
      <c r="N70" s="370" t="s">
        <v>308</v>
      </c>
      <c r="O70" s="371">
        <v>0</v>
      </c>
      <c r="P70" s="372" t="e">
        <v>#VALUE!</v>
      </c>
      <c r="Q70" s="368" t="s">
        <v>16</v>
      </c>
      <c r="R70" s="368" t="s">
        <v>16</v>
      </c>
      <c r="S70" s="368" t="s">
        <v>16</v>
      </c>
    </row>
    <row r="71" spans="2:19" ht="15.5" hidden="1" x14ac:dyDescent="0.35">
      <c r="B71" s="366" t="s">
        <v>226</v>
      </c>
      <c r="C71" s="367" t="s">
        <v>269</v>
      </c>
      <c r="D71" s="367">
        <v>63</v>
      </c>
      <c r="E71" s="368" t="s">
        <v>16</v>
      </c>
      <c r="F71" s="368" t="s">
        <v>16</v>
      </c>
      <c r="G71" s="368" t="s">
        <v>16</v>
      </c>
      <c r="H71" s="368" t="s">
        <v>16</v>
      </c>
      <c r="I71" s="368" t="s">
        <v>16</v>
      </c>
      <c r="J71" s="368" t="s">
        <v>16</v>
      </c>
      <c r="K71" s="369">
        <v>0</v>
      </c>
      <c r="L71" s="369" t="s">
        <v>16</v>
      </c>
      <c r="M71" s="369" t="s">
        <v>16</v>
      </c>
      <c r="N71" s="370" t="s">
        <v>308</v>
      </c>
      <c r="O71" s="371">
        <v>0</v>
      </c>
      <c r="P71" s="372" t="e">
        <v>#VALUE!</v>
      </c>
      <c r="Q71" s="368" t="s">
        <v>16</v>
      </c>
      <c r="R71" s="368" t="s">
        <v>16</v>
      </c>
      <c r="S71" s="368" t="s">
        <v>16</v>
      </c>
    </row>
    <row r="72" spans="2:19" ht="15.5" hidden="1" x14ac:dyDescent="0.35">
      <c r="B72" s="366" t="s">
        <v>226</v>
      </c>
      <c r="C72" s="367" t="s">
        <v>269</v>
      </c>
      <c r="D72" s="367">
        <v>64</v>
      </c>
      <c r="E72" s="368" t="s">
        <v>16</v>
      </c>
      <c r="F72" s="368" t="s">
        <v>16</v>
      </c>
      <c r="G72" s="368" t="s">
        <v>16</v>
      </c>
      <c r="H72" s="368" t="s">
        <v>16</v>
      </c>
      <c r="I72" s="368" t="s">
        <v>16</v>
      </c>
      <c r="J72" s="368" t="s">
        <v>16</v>
      </c>
      <c r="K72" s="369">
        <v>0</v>
      </c>
      <c r="L72" s="369" t="s">
        <v>16</v>
      </c>
      <c r="M72" s="369" t="s">
        <v>16</v>
      </c>
      <c r="N72" s="370" t="s">
        <v>308</v>
      </c>
      <c r="O72" s="371">
        <v>0</v>
      </c>
      <c r="P72" s="372" t="e">
        <v>#VALUE!</v>
      </c>
      <c r="Q72" s="368" t="s">
        <v>16</v>
      </c>
      <c r="R72" s="368" t="s">
        <v>16</v>
      </c>
      <c r="S72" s="368" t="s">
        <v>16</v>
      </c>
    </row>
    <row r="73" spans="2:19" ht="15.5" hidden="1" x14ac:dyDescent="0.35">
      <c r="B73" s="366" t="s">
        <v>226</v>
      </c>
      <c r="C73" s="367" t="s">
        <v>269</v>
      </c>
      <c r="D73" s="367">
        <v>65</v>
      </c>
      <c r="E73" s="368" t="s">
        <v>16</v>
      </c>
      <c r="F73" s="368" t="s">
        <v>16</v>
      </c>
      <c r="G73" s="368" t="s">
        <v>16</v>
      </c>
      <c r="H73" s="368" t="s">
        <v>16</v>
      </c>
      <c r="I73" s="368" t="s">
        <v>16</v>
      </c>
      <c r="J73" s="368" t="s">
        <v>16</v>
      </c>
      <c r="K73" s="369">
        <v>0</v>
      </c>
      <c r="L73" s="369" t="s">
        <v>16</v>
      </c>
      <c r="M73" s="369" t="s">
        <v>16</v>
      </c>
      <c r="N73" s="370" t="s">
        <v>308</v>
      </c>
      <c r="O73" s="371">
        <v>0</v>
      </c>
      <c r="P73" s="372" t="e">
        <v>#VALUE!</v>
      </c>
      <c r="Q73" s="368" t="s">
        <v>16</v>
      </c>
      <c r="R73" s="368" t="s">
        <v>16</v>
      </c>
      <c r="S73" s="368" t="s">
        <v>16</v>
      </c>
    </row>
    <row r="74" spans="2:19" ht="15.5" hidden="1" x14ac:dyDescent="0.35">
      <c r="B74" s="366" t="s">
        <v>226</v>
      </c>
      <c r="C74" s="367" t="s">
        <v>269</v>
      </c>
      <c r="D74" s="367">
        <v>66</v>
      </c>
      <c r="E74" s="368" t="s">
        <v>16</v>
      </c>
      <c r="F74" s="368" t="s">
        <v>16</v>
      </c>
      <c r="G74" s="368" t="s">
        <v>16</v>
      </c>
      <c r="H74" s="368" t="s">
        <v>16</v>
      </c>
      <c r="I74" s="368" t="s">
        <v>16</v>
      </c>
      <c r="J74" s="368" t="s">
        <v>16</v>
      </c>
      <c r="K74" s="369">
        <v>0</v>
      </c>
      <c r="L74" s="369" t="s">
        <v>16</v>
      </c>
      <c r="M74" s="369" t="s">
        <v>16</v>
      </c>
      <c r="N74" s="370" t="s">
        <v>308</v>
      </c>
      <c r="O74" s="371">
        <v>0</v>
      </c>
      <c r="P74" s="372" t="e">
        <v>#VALUE!</v>
      </c>
      <c r="Q74" s="368" t="s">
        <v>16</v>
      </c>
      <c r="R74" s="368" t="s">
        <v>16</v>
      </c>
      <c r="S74" s="368" t="s">
        <v>16</v>
      </c>
    </row>
    <row r="75" spans="2:19" ht="15.5" hidden="1" x14ac:dyDescent="0.35">
      <c r="B75" s="366" t="s">
        <v>226</v>
      </c>
      <c r="C75" s="367" t="s">
        <v>269</v>
      </c>
      <c r="D75" s="367">
        <v>67</v>
      </c>
      <c r="E75" s="368" t="s">
        <v>16</v>
      </c>
      <c r="F75" s="368" t="s">
        <v>16</v>
      </c>
      <c r="G75" s="368" t="s">
        <v>16</v>
      </c>
      <c r="H75" s="368" t="s">
        <v>16</v>
      </c>
      <c r="I75" s="368" t="s">
        <v>16</v>
      </c>
      <c r="J75" s="368" t="s">
        <v>16</v>
      </c>
      <c r="K75" s="369">
        <v>0</v>
      </c>
      <c r="L75" s="369" t="s">
        <v>16</v>
      </c>
      <c r="M75" s="369" t="s">
        <v>16</v>
      </c>
      <c r="N75" s="370" t="s">
        <v>308</v>
      </c>
      <c r="O75" s="371">
        <v>0</v>
      </c>
      <c r="P75" s="372" t="e">
        <v>#VALUE!</v>
      </c>
      <c r="Q75" s="368" t="s">
        <v>16</v>
      </c>
      <c r="R75" s="368" t="s">
        <v>16</v>
      </c>
      <c r="S75" s="368" t="s">
        <v>16</v>
      </c>
    </row>
    <row r="76" spans="2:19" ht="15.5" hidden="1" x14ac:dyDescent="0.35">
      <c r="B76" s="366" t="s">
        <v>226</v>
      </c>
      <c r="C76" s="367" t="s">
        <v>269</v>
      </c>
      <c r="D76" s="367">
        <v>68</v>
      </c>
      <c r="E76" s="368" t="s">
        <v>16</v>
      </c>
      <c r="F76" s="368" t="s">
        <v>16</v>
      </c>
      <c r="G76" s="368" t="s">
        <v>16</v>
      </c>
      <c r="H76" s="368" t="s">
        <v>16</v>
      </c>
      <c r="I76" s="368" t="s">
        <v>16</v>
      </c>
      <c r="J76" s="368" t="s">
        <v>16</v>
      </c>
      <c r="K76" s="369">
        <v>0</v>
      </c>
      <c r="L76" s="369" t="s">
        <v>16</v>
      </c>
      <c r="M76" s="369" t="s">
        <v>16</v>
      </c>
      <c r="N76" s="370" t="s">
        <v>308</v>
      </c>
      <c r="O76" s="371">
        <v>0</v>
      </c>
      <c r="P76" s="372" t="e">
        <v>#VALUE!</v>
      </c>
      <c r="Q76" s="368" t="s">
        <v>16</v>
      </c>
      <c r="R76" s="368" t="s">
        <v>16</v>
      </c>
      <c r="S76" s="368" t="s">
        <v>16</v>
      </c>
    </row>
    <row r="77" spans="2:19" ht="15.5" hidden="1" x14ac:dyDescent="0.35">
      <c r="B77" s="366" t="s">
        <v>226</v>
      </c>
      <c r="C77" s="367" t="s">
        <v>269</v>
      </c>
      <c r="D77" s="367">
        <v>69</v>
      </c>
      <c r="E77" s="368" t="s">
        <v>16</v>
      </c>
      <c r="F77" s="368" t="s">
        <v>16</v>
      </c>
      <c r="G77" s="368" t="s">
        <v>16</v>
      </c>
      <c r="H77" s="368" t="s">
        <v>16</v>
      </c>
      <c r="I77" s="368" t="s">
        <v>16</v>
      </c>
      <c r="J77" s="368" t="s">
        <v>16</v>
      </c>
      <c r="K77" s="369">
        <v>0</v>
      </c>
      <c r="L77" s="369" t="s">
        <v>16</v>
      </c>
      <c r="M77" s="369" t="s">
        <v>16</v>
      </c>
      <c r="N77" s="370" t="s">
        <v>308</v>
      </c>
      <c r="O77" s="371">
        <v>0</v>
      </c>
      <c r="P77" s="372" t="e">
        <v>#VALUE!</v>
      </c>
      <c r="Q77" s="368" t="s">
        <v>16</v>
      </c>
      <c r="R77" s="368" t="s">
        <v>16</v>
      </c>
      <c r="S77" s="368" t="s">
        <v>16</v>
      </c>
    </row>
    <row r="78" spans="2:19" ht="15.5" hidden="1" x14ac:dyDescent="0.35">
      <c r="B78" s="366" t="s">
        <v>226</v>
      </c>
      <c r="C78" s="367" t="s">
        <v>269</v>
      </c>
      <c r="D78" s="367">
        <v>70</v>
      </c>
      <c r="E78" s="368" t="s">
        <v>16</v>
      </c>
      <c r="F78" s="368" t="s">
        <v>16</v>
      </c>
      <c r="G78" s="368" t="s">
        <v>16</v>
      </c>
      <c r="H78" s="368" t="s">
        <v>16</v>
      </c>
      <c r="I78" s="368" t="s">
        <v>16</v>
      </c>
      <c r="J78" s="368" t="s">
        <v>16</v>
      </c>
      <c r="K78" s="369">
        <v>0</v>
      </c>
      <c r="L78" s="369" t="s">
        <v>16</v>
      </c>
      <c r="M78" s="369" t="s">
        <v>16</v>
      </c>
      <c r="N78" s="370" t="s">
        <v>308</v>
      </c>
      <c r="O78" s="371">
        <v>0</v>
      </c>
      <c r="P78" s="372" t="e">
        <v>#VALUE!</v>
      </c>
      <c r="Q78" s="368" t="s">
        <v>16</v>
      </c>
      <c r="R78" s="368" t="s">
        <v>16</v>
      </c>
      <c r="S78" s="368" t="s">
        <v>16</v>
      </c>
    </row>
    <row r="79" spans="2:19" ht="15.5" hidden="1" x14ac:dyDescent="0.35">
      <c r="B79" s="366" t="s">
        <v>226</v>
      </c>
      <c r="C79" s="367" t="s">
        <v>269</v>
      </c>
      <c r="D79" s="367">
        <v>71</v>
      </c>
      <c r="E79" s="368" t="s">
        <v>16</v>
      </c>
      <c r="F79" s="368" t="s">
        <v>16</v>
      </c>
      <c r="G79" s="368" t="s">
        <v>16</v>
      </c>
      <c r="H79" s="368" t="s">
        <v>16</v>
      </c>
      <c r="I79" s="368" t="s">
        <v>16</v>
      </c>
      <c r="J79" s="368" t="s">
        <v>16</v>
      </c>
      <c r="K79" s="369">
        <v>0</v>
      </c>
      <c r="L79" s="369" t="s">
        <v>16</v>
      </c>
      <c r="M79" s="369" t="s">
        <v>16</v>
      </c>
      <c r="N79" s="370" t="s">
        <v>308</v>
      </c>
      <c r="O79" s="371">
        <v>0</v>
      </c>
      <c r="P79" s="372" t="e">
        <v>#VALUE!</v>
      </c>
      <c r="Q79" s="368" t="s">
        <v>16</v>
      </c>
      <c r="R79" s="368" t="s">
        <v>16</v>
      </c>
      <c r="S79" s="368" t="s">
        <v>16</v>
      </c>
    </row>
    <row r="80" spans="2:19" ht="15.5" hidden="1" x14ac:dyDescent="0.35">
      <c r="B80" s="366" t="s">
        <v>226</v>
      </c>
      <c r="C80" s="367" t="s">
        <v>269</v>
      </c>
      <c r="D80" s="367">
        <v>72</v>
      </c>
      <c r="E80" s="368" t="s">
        <v>16</v>
      </c>
      <c r="F80" s="368" t="s">
        <v>16</v>
      </c>
      <c r="G80" s="368" t="s">
        <v>16</v>
      </c>
      <c r="H80" s="368" t="s">
        <v>16</v>
      </c>
      <c r="I80" s="368" t="s">
        <v>16</v>
      </c>
      <c r="J80" s="368" t="s">
        <v>16</v>
      </c>
      <c r="K80" s="369">
        <v>0</v>
      </c>
      <c r="L80" s="369" t="s">
        <v>16</v>
      </c>
      <c r="M80" s="369" t="s">
        <v>16</v>
      </c>
      <c r="N80" s="370" t="s">
        <v>308</v>
      </c>
      <c r="O80" s="371">
        <v>0</v>
      </c>
      <c r="P80" s="372" t="e">
        <v>#VALUE!</v>
      </c>
      <c r="Q80" s="368" t="s">
        <v>16</v>
      </c>
      <c r="R80" s="368" t="s">
        <v>16</v>
      </c>
      <c r="S80" s="368" t="s">
        <v>16</v>
      </c>
    </row>
    <row r="81" spans="2:19" ht="15.5" hidden="1" x14ac:dyDescent="0.35">
      <c r="B81" s="366" t="s">
        <v>226</v>
      </c>
      <c r="C81" s="367" t="s">
        <v>269</v>
      </c>
      <c r="D81" s="367">
        <v>73</v>
      </c>
      <c r="E81" s="368" t="s">
        <v>16</v>
      </c>
      <c r="F81" s="368" t="s">
        <v>16</v>
      </c>
      <c r="G81" s="368" t="s">
        <v>16</v>
      </c>
      <c r="H81" s="368" t="s">
        <v>16</v>
      </c>
      <c r="I81" s="368" t="s">
        <v>16</v>
      </c>
      <c r="J81" s="368" t="s">
        <v>16</v>
      </c>
      <c r="K81" s="369">
        <v>0</v>
      </c>
      <c r="L81" s="369" t="s">
        <v>16</v>
      </c>
      <c r="M81" s="369" t="s">
        <v>16</v>
      </c>
      <c r="N81" s="370" t="s">
        <v>308</v>
      </c>
      <c r="O81" s="371">
        <v>0</v>
      </c>
      <c r="P81" s="372" t="e">
        <v>#VALUE!</v>
      </c>
      <c r="Q81" s="368" t="s">
        <v>16</v>
      </c>
      <c r="R81" s="368" t="s">
        <v>16</v>
      </c>
      <c r="S81" s="368" t="s">
        <v>16</v>
      </c>
    </row>
    <row r="82" spans="2:19" ht="15.5" hidden="1" x14ac:dyDescent="0.35">
      <c r="B82" s="366" t="s">
        <v>226</v>
      </c>
      <c r="C82" s="367" t="s">
        <v>269</v>
      </c>
      <c r="D82" s="367">
        <v>74</v>
      </c>
      <c r="E82" s="368" t="s">
        <v>16</v>
      </c>
      <c r="F82" s="368" t="s">
        <v>16</v>
      </c>
      <c r="G82" s="368" t="s">
        <v>16</v>
      </c>
      <c r="H82" s="368" t="s">
        <v>16</v>
      </c>
      <c r="I82" s="368" t="s">
        <v>16</v>
      </c>
      <c r="J82" s="368" t="s">
        <v>16</v>
      </c>
      <c r="K82" s="369">
        <v>0</v>
      </c>
      <c r="L82" s="369" t="s">
        <v>16</v>
      </c>
      <c r="M82" s="369" t="s">
        <v>16</v>
      </c>
      <c r="N82" s="370" t="s">
        <v>308</v>
      </c>
      <c r="O82" s="371">
        <v>0</v>
      </c>
      <c r="P82" s="372" t="e">
        <v>#VALUE!</v>
      </c>
      <c r="Q82" s="368" t="s">
        <v>16</v>
      </c>
      <c r="R82" s="368" t="s">
        <v>16</v>
      </c>
      <c r="S82" s="368" t="s">
        <v>16</v>
      </c>
    </row>
    <row r="83" spans="2:19" ht="15.5" hidden="1" x14ac:dyDescent="0.35">
      <c r="B83" s="366" t="s">
        <v>226</v>
      </c>
      <c r="C83" s="367" t="s">
        <v>269</v>
      </c>
      <c r="D83" s="367">
        <v>75</v>
      </c>
      <c r="E83" s="368" t="s">
        <v>16</v>
      </c>
      <c r="F83" s="368" t="s">
        <v>16</v>
      </c>
      <c r="G83" s="368" t="s">
        <v>16</v>
      </c>
      <c r="H83" s="368" t="s">
        <v>16</v>
      </c>
      <c r="I83" s="368" t="s">
        <v>16</v>
      </c>
      <c r="J83" s="368" t="s">
        <v>16</v>
      </c>
      <c r="K83" s="369">
        <v>0</v>
      </c>
      <c r="L83" s="369" t="s">
        <v>16</v>
      </c>
      <c r="M83" s="369" t="s">
        <v>16</v>
      </c>
      <c r="N83" s="370" t="s">
        <v>308</v>
      </c>
      <c r="O83" s="371">
        <v>0</v>
      </c>
      <c r="P83" s="372" t="e">
        <v>#VALUE!</v>
      </c>
      <c r="Q83" s="368" t="s">
        <v>16</v>
      </c>
      <c r="R83" s="368" t="s">
        <v>16</v>
      </c>
      <c r="S83" s="368" t="s">
        <v>16</v>
      </c>
    </row>
    <row r="84" spans="2:19" ht="15.5" hidden="1" x14ac:dyDescent="0.35">
      <c r="B84" s="366" t="s">
        <v>226</v>
      </c>
      <c r="C84" s="367" t="s">
        <v>269</v>
      </c>
      <c r="D84" s="367">
        <v>76</v>
      </c>
      <c r="E84" s="368" t="s">
        <v>16</v>
      </c>
      <c r="F84" s="368" t="s">
        <v>16</v>
      </c>
      <c r="G84" s="368" t="s">
        <v>16</v>
      </c>
      <c r="H84" s="368" t="s">
        <v>16</v>
      </c>
      <c r="I84" s="368" t="s">
        <v>16</v>
      </c>
      <c r="J84" s="368" t="s">
        <v>16</v>
      </c>
      <c r="K84" s="369">
        <v>0</v>
      </c>
      <c r="L84" s="369" t="s">
        <v>16</v>
      </c>
      <c r="M84" s="369" t="s">
        <v>16</v>
      </c>
      <c r="N84" s="370" t="s">
        <v>308</v>
      </c>
      <c r="O84" s="371">
        <v>0</v>
      </c>
      <c r="P84" s="372" t="e">
        <v>#VALUE!</v>
      </c>
      <c r="Q84" s="368" t="s">
        <v>16</v>
      </c>
      <c r="R84" s="368" t="s">
        <v>16</v>
      </c>
      <c r="S84" s="368" t="s">
        <v>16</v>
      </c>
    </row>
    <row r="85" spans="2:19" ht="15.5" hidden="1" x14ac:dyDescent="0.35">
      <c r="B85" s="366" t="s">
        <v>226</v>
      </c>
      <c r="C85" s="367" t="s">
        <v>269</v>
      </c>
      <c r="D85" s="367">
        <v>77</v>
      </c>
      <c r="E85" s="368" t="s">
        <v>16</v>
      </c>
      <c r="F85" s="368" t="s">
        <v>16</v>
      </c>
      <c r="G85" s="368" t="s">
        <v>16</v>
      </c>
      <c r="H85" s="368" t="s">
        <v>16</v>
      </c>
      <c r="I85" s="368" t="s">
        <v>16</v>
      </c>
      <c r="J85" s="368" t="s">
        <v>16</v>
      </c>
      <c r="K85" s="369">
        <v>0</v>
      </c>
      <c r="L85" s="369" t="s">
        <v>16</v>
      </c>
      <c r="M85" s="369" t="s">
        <v>16</v>
      </c>
      <c r="N85" s="370" t="s">
        <v>308</v>
      </c>
      <c r="O85" s="371">
        <v>0</v>
      </c>
      <c r="P85" s="372" t="e">
        <v>#VALUE!</v>
      </c>
      <c r="Q85" s="368" t="s">
        <v>16</v>
      </c>
      <c r="R85" s="368" t="s">
        <v>16</v>
      </c>
      <c r="S85" s="368" t="s">
        <v>16</v>
      </c>
    </row>
    <row r="86" spans="2:19" ht="15.5" hidden="1" x14ac:dyDescent="0.35">
      <c r="B86" s="366" t="s">
        <v>226</v>
      </c>
      <c r="C86" s="367" t="s">
        <v>269</v>
      </c>
      <c r="D86" s="367">
        <v>78</v>
      </c>
      <c r="E86" s="368" t="s">
        <v>16</v>
      </c>
      <c r="F86" s="368" t="s">
        <v>16</v>
      </c>
      <c r="G86" s="368" t="s">
        <v>16</v>
      </c>
      <c r="H86" s="368" t="s">
        <v>16</v>
      </c>
      <c r="I86" s="368" t="s">
        <v>16</v>
      </c>
      <c r="J86" s="368" t="s">
        <v>16</v>
      </c>
      <c r="K86" s="369">
        <v>0</v>
      </c>
      <c r="L86" s="369" t="s">
        <v>16</v>
      </c>
      <c r="M86" s="369" t="s">
        <v>16</v>
      </c>
      <c r="N86" s="370" t="s">
        <v>308</v>
      </c>
      <c r="O86" s="371">
        <v>0</v>
      </c>
      <c r="P86" s="372" t="e">
        <v>#VALUE!</v>
      </c>
      <c r="Q86" s="368" t="s">
        <v>16</v>
      </c>
      <c r="R86" s="368" t="s">
        <v>16</v>
      </c>
      <c r="S86" s="368" t="s">
        <v>16</v>
      </c>
    </row>
    <row r="87" spans="2:19" ht="15.5" hidden="1" x14ac:dyDescent="0.35">
      <c r="B87" s="366" t="s">
        <v>226</v>
      </c>
      <c r="C87" s="367" t="s">
        <v>269</v>
      </c>
      <c r="D87" s="367">
        <v>79</v>
      </c>
      <c r="E87" s="368" t="s">
        <v>16</v>
      </c>
      <c r="F87" s="368" t="s">
        <v>16</v>
      </c>
      <c r="G87" s="368" t="s">
        <v>16</v>
      </c>
      <c r="H87" s="368" t="s">
        <v>16</v>
      </c>
      <c r="I87" s="368" t="s">
        <v>16</v>
      </c>
      <c r="J87" s="368" t="s">
        <v>16</v>
      </c>
      <c r="K87" s="369">
        <v>0</v>
      </c>
      <c r="L87" s="369" t="s">
        <v>16</v>
      </c>
      <c r="M87" s="369" t="s">
        <v>16</v>
      </c>
      <c r="N87" s="370" t="s">
        <v>308</v>
      </c>
      <c r="O87" s="371">
        <v>0</v>
      </c>
      <c r="P87" s="372" t="e">
        <v>#VALUE!</v>
      </c>
      <c r="Q87" s="368" t="s">
        <v>16</v>
      </c>
      <c r="R87" s="368" t="s">
        <v>16</v>
      </c>
      <c r="S87" s="368" t="s">
        <v>16</v>
      </c>
    </row>
    <row r="88" spans="2:19" ht="15.5" hidden="1" x14ac:dyDescent="0.35">
      <c r="B88" s="366" t="s">
        <v>226</v>
      </c>
      <c r="C88" s="367" t="s">
        <v>269</v>
      </c>
      <c r="D88" s="367">
        <v>80</v>
      </c>
      <c r="E88" s="368" t="s">
        <v>16</v>
      </c>
      <c r="F88" s="368" t="s">
        <v>16</v>
      </c>
      <c r="G88" s="368" t="s">
        <v>16</v>
      </c>
      <c r="H88" s="368" t="s">
        <v>16</v>
      </c>
      <c r="I88" s="368" t="s">
        <v>16</v>
      </c>
      <c r="J88" s="368" t="s">
        <v>16</v>
      </c>
      <c r="K88" s="369">
        <v>0</v>
      </c>
      <c r="L88" s="369" t="s">
        <v>16</v>
      </c>
      <c r="M88" s="369" t="s">
        <v>16</v>
      </c>
      <c r="N88" s="370" t="s">
        <v>308</v>
      </c>
      <c r="O88" s="371">
        <v>0</v>
      </c>
      <c r="P88" s="372" t="e">
        <v>#VALUE!</v>
      </c>
      <c r="Q88" s="368" t="s">
        <v>16</v>
      </c>
      <c r="R88" s="368" t="s">
        <v>16</v>
      </c>
      <c r="S88" s="368" t="s">
        <v>16</v>
      </c>
    </row>
    <row r="89" spans="2:19" ht="15.5" hidden="1" x14ac:dyDescent="0.35">
      <c r="B89" s="366" t="s">
        <v>226</v>
      </c>
      <c r="C89" s="367" t="s">
        <v>269</v>
      </c>
      <c r="D89" s="367">
        <v>81</v>
      </c>
      <c r="E89" s="368" t="s">
        <v>16</v>
      </c>
      <c r="F89" s="368" t="s">
        <v>16</v>
      </c>
      <c r="G89" s="368" t="s">
        <v>16</v>
      </c>
      <c r="H89" s="368" t="s">
        <v>16</v>
      </c>
      <c r="I89" s="368" t="s">
        <v>16</v>
      </c>
      <c r="J89" s="368" t="s">
        <v>16</v>
      </c>
      <c r="K89" s="369">
        <v>0</v>
      </c>
      <c r="L89" s="369" t="s">
        <v>16</v>
      </c>
      <c r="M89" s="369" t="s">
        <v>16</v>
      </c>
      <c r="N89" s="370" t="s">
        <v>308</v>
      </c>
      <c r="O89" s="371">
        <v>0</v>
      </c>
      <c r="P89" s="372" t="e">
        <v>#VALUE!</v>
      </c>
      <c r="Q89" s="368" t="s">
        <v>16</v>
      </c>
      <c r="R89" s="368" t="s">
        <v>16</v>
      </c>
      <c r="S89" s="368" t="s">
        <v>16</v>
      </c>
    </row>
    <row r="90" spans="2:19" ht="15.5" hidden="1" x14ac:dyDescent="0.35">
      <c r="B90" s="366" t="s">
        <v>226</v>
      </c>
      <c r="C90" s="367" t="s">
        <v>269</v>
      </c>
      <c r="D90" s="367">
        <v>82</v>
      </c>
      <c r="E90" s="368" t="s">
        <v>16</v>
      </c>
      <c r="F90" s="368" t="s">
        <v>16</v>
      </c>
      <c r="G90" s="368" t="s">
        <v>16</v>
      </c>
      <c r="H90" s="368" t="s">
        <v>16</v>
      </c>
      <c r="I90" s="368" t="s">
        <v>16</v>
      </c>
      <c r="J90" s="368" t="s">
        <v>16</v>
      </c>
      <c r="K90" s="369">
        <v>0</v>
      </c>
      <c r="L90" s="369" t="s">
        <v>16</v>
      </c>
      <c r="M90" s="369" t="s">
        <v>16</v>
      </c>
      <c r="N90" s="370" t="s">
        <v>308</v>
      </c>
      <c r="O90" s="371">
        <v>0</v>
      </c>
      <c r="P90" s="372" t="e">
        <v>#VALUE!</v>
      </c>
      <c r="Q90" s="368" t="s">
        <v>16</v>
      </c>
      <c r="R90" s="368" t="s">
        <v>16</v>
      </c>
      <c r="S90" s="368" t="s">
        <v>16</v>
      </c>
    </row>
    <row r="91" spans="2:19" ht="15.5" hidden="1" x14ac:dyDescent="0.35">
      <c r="B91" s="366" t="s">
        <v>226</v>
      </c>
      <c r="C91" s="367" t="s">
        <v>269</v>
      </c>
      <c r="D91" s="367">
        <v>83</v>
      </c>
      <c r="E91" s="368" t="s">
        <v>16</v>
      </c>
      <c r="F91" s="368" t="s">
        <v>16</v>
      </c>
      <c r="G91" s="368" t="s">
        <v>16</v>
      </c>
      <c r="H91" s="368" t="s">
        <v>16</v>
      </c>
      <c r="I91" s="368" t="s">
        <v>16</v>
      </c>
      <c r="J91" s="368" t="s">
        <v>16</v>
      </c>
      <c r="K91" s="369">
        <v>0</v>
      </c>
      <c r="L91" s="369" t="s">
        <v>16</v>
      </c>
      <c r="M91" s="369" t="s">
        <v>16</v>
      </c>
      <c r="N91" s="370" t="s">
        <v>308</v>
      </c>
      <c r="O91" s="371">
        <v>0</v>
      </c>
      <c r="P91" s="372" t="e">
        <v>#VALUE!</v>
      </c>
      <c r="Q91" s="368" t="s">
        <v>16</v>
      </c>
      <c r="R91" s="368" t="s">
        <v>16</v>
      </c>
      <c r="S91" s="368" t="s">
        <v>16</v>
      </c>
    </row>
    <row r="92" spans="2:19" ht="15.5" hidden="1" x14ac:dyDescent="0.35">
      <c r="B92" s="366" t="s">
        <v>226</v>
      </c>
      <c r="C92" s="367" t="s">
        <v>269</v>
      </c>
      <c r="D92" s="367">
        <v>84</v>
      </c>
      <c r="E92" s="368" t="s">
        <v>16</v>
      </c>
      <c r="F92" s="368" t="s">
        <v>16</v>
      </c>
      <c r="G92" s="368" t="s">
        <v>16</v>
      </c>
      <c r="H92" s="368" t="s">
        <v>16</v>
      </c>
      <c r="I92" s="368" t="s">
        <v>16</v>
      </c>
      <c r="J92" s="368" t="s">
        <v>16</v>
      </c>
      <c r="K92" s="369">
        <v>0</v>
      </c>
      <c r="L92" s="369" t="s">
        <v>16</v>
      </c>
      <c r="M92" s="369" t="s">
        <v>16</v>
      </c>
      <c r="N92" s="370" t="s">
        <v>308</v>
      </c>
      <c r="O92" s="371">
        <v>0</v>
      </c>
      <c r="P92" s="372" t="e">
        <v>#VALUE!</v>
      </c>
      <c r="Q92" s="368" t="s">
        <v>16</v>
      </c>
      <c r="R92" s="368" t="s">
        <v>16</v>
      </c>
      <c r="S92" s="368" t="s">
        <v>16</v>
      </c>
    </row>
    <row r="93" spans="2:19" ht="15.5" hidden="1" x14ac:dyDescent="0.35">
      <c r="B93" s="366" t="s">
        <v>226</v>
      </c>
      <c r="C93" s="367" t="s">
        <v>269</v>
      </c>
      <c r="D93" s="367">
        <v>85</v>
      </c>
      <c r="E93" s="368" t="s">
        <v>16</v>
      </c>
      <c r="F93" s="368" t="s">
        <v>16</v>
      </c>
      <c r="G93" s="368" t="s">
        <v>16</v>
      </c>
      <c r="H93" s="368" t="s">
        <v>16</v>
      </c>
      <c r="I93" s="368" t="s">
        <v>16</v>
      </c>
      <c r="J93" s="368" t="s">
        <v>16</v>
      </c>
      <c r="K93" s="369">
        <v>0</v>
      </c>
      <c r="L93" s="369" t="s">
        <v>16</v>
      </c>
      <c r="M93" s="369" t="s">
        <v>16</v>
      </c>
      <c r="N93" s="370" t="s">
        <v>308</v>
      </c>
      <c r="O93" s="371">
        <v>0</v>
      </c>
      <c r="P93" s="372" t="e">
        <v>#VALUE!</v>
      </c>
      <c r="Q93" s="368" t="s">
        <v>16</v>
      </c>
      <c r="R93" s="368" t="s">
        <v>16</v>
      </c>
      <c r="S93" s="368" t="s">
        <v>16</v>
      </c>
    </row>
    <row r="94" spans="2:19" ht="15.5" hidden="1" x14ac:dyDescent="0.35">
      <c r="B94" s="366" t="s">
        <v>226</v>
      </c>
      <c r="C94" s="367" t="s">
        <v>269</v>
      </c>
      <c r="D94" s="367">
        <v>86</v>
      </c>
      <c r="E94" s="368" t="s">
        <v>16</v>
      </c>
      <c r="F94" s="368" t="s">
        <v>16</v>
      </c>
      <c r="G94" s="368" t="s">
        <v>16</v>
      </c>
      <c r="H94" s="368" t="s">
        <v>16</v>
      </c>
      <c r="I94" s="368" t="s">
        <v>16</v>
      </c>
      <c r="J94" s="368" t="s">
        <v>16</v>
      </c>
      <c r="K94" s="369">
        <v>0</v>
      </c>
      <c r="L94" s="369" t="s">
        <v>16</v>
      </c>
      <c r="M94" s="369" t="s">
        <v>16</v>
      </c>
      <c r="N94" s="370" t="s">
        <v>308</v>
      </c>
      <c r="O94" s="371">
        <v>0</v>
      </c>
      <c r="P94" s="372" t="e">
        <v>#VALUE!</v>
      </c>
      <c r="Q94" s="368" t="s">
        <v>16</v>
      </c>
      <c r="R94" s="368" t="s">
        <v>16</v>
      </c>
      <c r="S94" s="368" t="s">
        <v>16</v>
      </c>
    </row>
    <row r="95" spans="2:19" ht="15.5" hidden="1" x14ac:dyDescent="0.35">
      <c r="B95" s="366" t="s">
        <v>226</v>
      </c>
      <c r="C95" s="367" t="s">
        <v>269</v>
      </c>
      <c r="D95" s="367">
        <v>87</v>
      </c>
      <c r="E95" s="368" t="s">
        <v>16</v>
      </c>
      <c r="F95" s="368" t="s">
        <v>16</v>
      </c>
      <c r="G95" s="368" t="s">
        <v>16</v>
      </c>
      <c r="H95" s="368" t="s">
        <v>16</v>
      </c>
      <c r="I95" s="368" t="s">
        <v>16</v>
      </c>
      <c r="J95" s="368" t="s">
        <v>16</v>
      </c>
      <c r="K95" s="369">
        <v>0</v>
      </c>
      <c r="L95" s="369" t="s">
        <v>16</v>
      </c>
      <c r="M95" s="369" t="s">
        <v>16</v>
      </c>
      <c r="N95" s="370" t="s">
        <v>308</v>
      </c>
      <c r="O95" s="371">
        <v>0</v>
      </c>
      <c r="P95" s="372" t="e">
        <v>#VALUE!</v>
      </c>
      <c r="Q95" s="368" t="s">
        <v>16</v>
      </c>
      <c r="R95" s="368" t="s">
        <v>16</v>
      </c>
      <c r="S95" s="368" t="s">
        <v>16</v>
      </c>
    </row>
    <row r="96" spans="2:19" ht="15.5" hidden="1" x14ac:dyDescent="0.35">
      <c r="B96" s="366" t="s">
        <v>226</v>
      </c>
      <c r="C96" s="367" t="s">
        <v>269</v>
      </c>
      <c r="D96" s="367">
        <v>88</v>
      </c>
      <c r="E96" s="368" t="s">
        <v>16</v>
      </c>
      <c r="F96" s="368" t="s">
        <v>16</v>
      </c>
      <c r="G96" s="368" t="s">
        <v>16</v>
      </c>
      <c r="H96" s="368" t="s">
        <v>16</v>
      </c>
      <c r="I96" s="368" t="s">
        <v>16</v>
      </c>
      <c r="J96" s="368" t="s">
        <v>16</v>
      </c>
      <c r="K96" s="369">
        <v>0</v>
      </c>
      <c r="L96" s="369" t="s">
        <v>16</v>
      </c>
      <c r="M96" s="369" t="s">
        <v>16</v>
      </c>
      <c r="N96" s="370" t="s">
        <v>308</v>
      </c>
      <c r="O96" s="371">
        <v>0</v>
      </c>
      <c r="P96" s="372" t="e">
        <v>#VALUE!</v>
      </c>
      <c r="Q96" s="368" t="s">
        <v>16</v>
      </c>
      <c r="R96" s="368" t="s">
        <v>16</v>
      </c>
      <c r="S96" s="368" t="s">
        <v>16</v>
      </c>
    </row>
    <row r="97" spans="2:19" ht="15.5" hidden="1" x14ac:dyDescent="0.35">
      <c r="B97" s="366" t="s">
        <v>226</v>
      </c>
      <c r="C97" s="367" t="s">
        <v>269</v>
      </c>
      <c r="D97" s="367">
        <v>89</v>
      </c>
      <c r="E97" s="368" t="s">
        <v>16</v>
      </c>
      <c r="F97" s="368" t="s">
        <v>16</v>
      </c>
      <c r="G97" s="368" t="s">
        <v>16</v>
      </c>
      <c r="H97" s="368" t="s">
        <v>16</v>
      </c>
      <c r="I97" s="368" t="s">
        <v>16</v>
      </c>
      <c r="J97" s="368" t="s">
        <v>16</v>
      </c>
      <c r="K97" s="369">
        <v>0</v>
      </c>
      <c r="L97" s="369" t="s">
        <v>16</v>
      </c>
      <c r="M97" s="369" t="s">
        <v>16</v>
      </c>
      <c r="N97" s="370" t="s">
        <v>308</v>
      </c>
      <c r="O97" s="371">
        <v>0</v>
      </c>
      <c r="P97" s="372" t="e">
        <v>#VALUE!</v>
      </c>
      <c r="Q97" s="368" t="s">
        <v>16</v>
      </c>
      <c r="R97" s="368" t="s">
        <v>16</v>
      </c>
      <c r="S97" s="368" t="s">
        <v>16</v>
      </c>
    </row>
    <row r="98" spans="2:19" ht="15.5" hidden="1" x14ac:dyDescent="0.35">
      <c r="B98" s="366" t="s">
        <v>226</v>
      </c>
      <c r="C98" s="367" t="s">
        <v>269</v>
      </c>
      <c r="D98" s="367">
        <v>90</v>
      </c>
      <c r="E98" s="368" t="s">
        <v>16</v>
      </c>
      <c r="F98" s="368" t="s">
        <v>16</v>
      </c>
      <c r="G98" s="368" t="s">
        <v>16</v>
      </c>
      <c r="H98" s="368" t="s">
        <v>16</v>
      </c>
      <c r="I98" s="368" t="s">
        <v>16</v>
      </c>
      <c r="J98" s="368" t="s">
        <v>16</v>
      </c>
      <c r="K98" s="369">
        <v>0</v>
      </c>
      <c r="L98" s="369" t="s">
        <v>16</v>
      </c>
      <c r="M98" s="369" t="s">
        <v>16</v>
      </c>
      <c r="N98" s="370" t="s">
        <v>308</v>
      </c>
      <c r="O98" s="371">
        <v>0</v>
      </c>
      <c r="P98" s="372" t="e">
        <v>#VALUE!</v>
      </c>
      <c r="Q98" s="368" t="s">
        <v>16</v>
      </c>
      <c r="R98" s="368" t="s">
        <v>16</v>
      </c>
      <c r="S98" s="368" t="s">
        <v>16</v>
      </c>
    </row>
    <row r="99" spans="2:19" ht="15.5" hidden="1" x14ac:dyDescent="0.35">
      <c r="B99" s="366" t="s">
        <v>226</v>
      </c>
      <c r="C99" s="367" t="s">
        <v>269</v>
      </c>
      <c r="D99" s="367">
        <v>91</v>
      </c>
      <c r="E99" s="368" t="s">
        <v>16</v>
      </c>
      <c r="F99" s="368" t="s">
        <v>16</v>
      </c>
      <c r="G99" s="368" t="s">
        <v>16</v>
      </c>
      <c r="H99" s="368" t="s">
        <v>16</v>
      </c>
      <c r="I99" s="368" t="s">
        <v>16</v>
      </c>
      <c r="J99" s="368" t="s">
        <v>16</v>
      </c>
      <c r="K99" s="369">
        <v>0</v>
      </c>
      <c r="L99" s="369" t="s">
        <v>16</v>
      </c>
      <c r="M99" s="369" t="s">
        <v>16</v>
      </c>
      <c r="N99" s="370" t="s">
        <v>308</v>
      </c>
      <c r="O99" s="371">
        <v>0</v>
      </c>
      <c r="P99" s="372" t="e">
        <v>#VALUE!</v>
      </c>
      <c r="Q99" s="368" t="s">
        <v>16</v>
      </c>
      <c r="R99" s="368" t="s">
        <v>16</v>
      </c>
      <c r="S99" s="368" t="s">
        <v>16</v>
      </c>
    </row>
    <row r="100" spans="2:19" ht="15.5" hidden="1" x14ac:dyDescent="0.35">
      <c r="B100" s="366" t="s">
        <v>226</v>
      </c>
      <c r="C100" s="367" t="s">
        <v>269</v>
      </c>
      <c r="D100" s="367">
        <v>92</v>
      </c>
      <c r="E100" s="368" t="s">
        <v>16</v>
      </c>
      <c r="F100" s="368" t="s">
        <v>16</v>
      </c>
      <c r="G100" s="368" t="s">
        <v>16</v>
      </c>
      <c r="H100" s="368" t="s">
        <v>16</v>
      </c>
      <c r="I100" s="368" t="s">
        <v>16</v>
      </c>
      <c r="J100" s="368" t="s">
        <v>16</v>
      </c>
      <c r="K100" s="369">
        <v>0</v>
      </c>
      <c r="L100" s="369" t="s">
        <v>16</v>
      </c>
      <c r="M100" s="369" t="s">
        <v>16</v>
      </c>
      <c r="N100" s="370" t="s">
        <v>308</v>
      </c>
      <c r="O100" s="371">
        <v>0</v>
      </c>
      <c r="P100" s="372" t="e">
        <v>#VALUE!</v>
      </c>
      <c r="Q100" s="368" t="s">
        <v>16</v>
      </c>
      <c r="R100" s="368" t="s">
        <v>16</v>
      </c>
      <c r="S100" s="368" t="s">
        <v>16</v>
      </c>
    </row>
    <row r="101" spans="2:19" ht="15.5" hidden="1" x14ac:dyDescent="0.35">
      <c r="B101" s="366" t="s">
        <v>226</v>
      </c>
      <c r="C101" s="367" t="s">
        <v>269</v>
      </c>
      <c r="D101" s="367">
        <v>93</v>
      </c>
      <c r="E101" s="368" t="s">
        <v>16</v>
      </c>
      <c r="F101" s="368" t="s">
        <v>16</v>
      </c>
      <c r="G101" s="368" t="s">
        <v>16</v>
      </c>
      <c r="H101" s="368" t="s">
        <v>16</v>
      </c>
      <c r="I101" s="368" t="s">
        <v>16</v>
      </c>
      <c r="J101" s="368" t="s">
        <v>16</v>
      </c>
      <c r="K101" s="369">
        <v>0</v>
      </c>
      <c r="L101" s="369" t="s">
        <v>16</v>
      </c>
      <c r="M101" s="369" t="s">
        <v>16</v>
      </c>
      <c r="N101" s="370" t="s">
        <v>308</v>
      </c>
      <c r="O101" s="371">
        <v>0</v>
      </c>
      <c r="P101" s="372" t="e">
        <v>#VALUE!</v>
      </c>
      <c r="Q101" s="368" t="s">
        <v>16</v>
      </c>
      <c r="R101" s="368" t="s">
        <v>16</v>
      </c>
      <c r="S101" s="368" t="s">
        <v>16</v>
      </c>
    </row>
    <row r="102" spans="2:19" ht="15.5" hidden="1" x14ac:dyDescent="0.35">
      <c r="B102" s="366" t="s">
        <v>226</v>
      </c>
      <c r="C102" s="367" t="s">
        <v>269</v>
      </c>
      <c r="D102" s="367">
        <v>94</v>
      </c>
      <c r="E102" s="368" t="s">
        <v>16</v>
      </c>
      <c r="F102" s="368" t="s">
        <v>16</v>
      </c>
      <c r="G102" s="368" t="s">
        <v>16</v>
      </c>
      <c r="H102" s="368" t="s">
        <v>16</v>
      </c>
      <c r="I102" s="368" t="s">
        <v>16</v>
      </c>
      <c r="J102" s="368" t="s">
        <v>16</v>
      </c>
      <c r="K102" s="369">
        <v>0</v>
      </c>
      <c r="L102" s="369" t="s">
        <v>16</v>
      </c>
      <c r="M102" s="369" t="s">
        <v>16</v>
      </c>
      <c r="N102" s="370" t="s">
        <v>308</v>
      </c>
      <c r="O102" s="371">
        <v>0</v>
      </c>
      <c r="P102" s="372" t="e">
        <v>#VALUE!</v>
      </c>
      <c r="Q102" s="368" t="s">
        <v>16</v>
      </c>
      <c r="R102" s="368" t="s">
        <v>16</v>
      </c>
      <c r="S102" s="368" t="s">
        <v>16</v>
      </c>
    </row>
    <row r="103" spans="2:19" ht="15.5" hidden="1" x14ac:dyDescent="0.35">
      <c r="B103" s="366" t="s">
        <v>226</v>
      </c>
      <c r="C103" s="367" t="s">
        <v>269</v>
      </c>
      <c r="D103" s="367">
        <v>95</v>
      </c>
      <c r="E103" s="368" t="s">
        <v>16</v>
      </c>
      <c r="F103" s="368" t="s">
        <v>16</v>
      </c>
      <c r="G103" s="368" t="s">
        <v>16</v>
      </c>
      <c r="H103" s="368" t="s">
        <v>16</v>
      </c>
      <c r="I103" s="368" t="s">
        <v>16</v>
      </c>
      <c r="J103" s="368" t="s">
        <v>16</v>
      </c>
      <c r="K103" s="369">
        <v>0</v>
      </c>
      <c r="L103" s="369" t="s">
        <v>16</v>
      </c>
      <c r="M103" s="369" t="s">
        <v>16</v>
      </c>
      <c r="N103" s="370" t="s">
        <v>308</v>
      </c>
      <c r="O103" s="371">
        <v>0</v>
      </c>
      <c r="P103" s="372" t="e">
        <v>#VALUE!</v>
      </c>
      <c r="Q103" s="368" t="s">
        <v>16</v>
      </c>
      <c r="R103" s="368" t="s">
        <v>16</v>
      </c>
      <c r="S103" s="368" t="s">
        <v>16</v>
      </c>
    </row>
    <row r="104" spans="2:19" ht="15.5" hidden="1" x14ac:dyDescent="0.35">
      <c r="B104" s="366" t="s">
        <v>226</v>
      </c>
      <c r="C104" s="367" t="s">
        <v>269</v>
      </c>
      <c r="D104" s="367">
        <v>96</v>
      </c>
      <c r="E104" s="368" t="s">
        <v>16</v>
      </c>
      <c r="F104" s="368" t="s">
        <v>16</v>
      </c>
      <c r="G104" s="368" t="s">
        <v>16</v>
      </c>
      <c r="H104" s="368" t="s">
        <v>16</v>
      </c>
      <c r="I104" s="368" t="s">
        <v>16</v>
      </c>
      <c r="J104" s="368" t="s">
        <v>16</v>
      </c>
      <c r="K104" s="369">
        <v>0</v>
      </c>
      <c r="L104" s="369" t="s">
        <v>16</v>
      </c>
      <c r="M104" s="369" t="s">
        <v>16</v>
      </c>
      <c r="N104" s="370" t="s">
        <v>308</v>
      </c>
      <c r="O104" s="371">
        <v>0</v>
      </c>
      <c r="P104" s="372" t="e">
        <v>#VALUE!</v>
      </c>
      <c r="Q104" s="368" t="s">
        <v>16</v>
      </c>
      <c r="R104" s="368" t="s">
        <v>16</v>
      </c>
      <c r="S104" s="368" t="s">
        <v>16</v>
      </c>
    </row>
    <row r="105" spans="2:19" ht="15.5" hidden="1" x14ac:dyDescent="0.35">
      <c r="B105" s="366" t="s">
        <v>226</v>
      </c>
      <c r="C105" s="367" t="s">
        <v>269</v>
      </c>
      <c r="D105" s="367">
        <v>97</v>
      </c>
      <c r="E105" s="368" t="s">
        <v>16</v>
      </c>
      <c r="F105" s="368" t="s">
        <v>16</v>
      </c>
      <c r="G105" s="368" t="s">
        <v>16</v>
      </c>
      <c r="H105" s="368" t="s">
        <v>16</v>
      </c>
      <c r="I105" s="368" t="s">
        <v>16</v>
      </c>
      <c r="J105" s="368" t="s">
        <v>16</v>
      </c>
      <c r="K105" s="369">
        <v>0</v>
      </c>
      <c r="L105" s="369" t="s">
        <v>16</v>
      </c>
      <c r="M105" s="369" t="s">
        <v>16</v>
      </c>
      <c r="N105" s="370" t="s">
        <v>308</v>
      </c>
      <c r="O105" s="371">
        <v>0</v>
      </c>
      <c r="P105" s="372" t="e">
        <v>#VALUE!</v>
      </c>
      <c r="Q105" s="368" t="s">
        <v>16</v>
      </c>
      <c r="R105" s="368" t="s">
        <v>16</v>
      </c>
      <c r="S105" s="368" t="s">
        <v>16</v>
      </c>
    </row>
    <row r="106" spans="2:19" ht="15.5" hidden="1" x14ac:dyDescent="0.35">
      <c r="B106" s="366" t="s">
        <v>226</v>
      </c>
      <c r="C106" s="367" t="s">
        <v>269</v>
      </c>
      <c r="D106" s="367">
        <v>98</v>
      </c>
      <c r="E106" s="368" t="s">
        <v>16</v>
      </c>
      <c r="F106" s="368" t="s">
        <v>16</v>
      </c>
      <c r="G106" s="368" t="s">
        <v>16</v>
      </c>
      <c r="H106" s="368" t="s">
        <v>16</v>
      </c>
      <c r="I106" s="368" t="s">
        <v>16</v>
      </c>
      <c r="J106" s="368" t="s">
        <v>16</v>
      </c>
      <c r="K106" s="369">
        <v>0</v>
      </c>
      <c r="L106" s="369" t="s">
        <v>16</v>
      </c>
      <c r="M106" s="369" t="s">
        <v>16</v>
      </c>
      <c r="N106" s="370" t="s">
        <v>308</v>
      </c>
      <c r="O106" s="371">
        <v>0</v>
      </c>
      <c r="P106" s="372" t="e">
        <v>#VALUE!</v>
      </c>
      <c r="Q106" s="368" t="s">
        <v>16</v>
      </c>
      <c r="R106" s="368" t="s">
        <v>16</v>
      </c>
      <c r="S106" s="368" t="s">
        <v>16</v>
      </c>
    </row>
    <row r="107" spans="2:19" ht="15.5" hidden="1" x14ac:dyDescent="0.35">
      <c r="B107" s="366" t="s">
        <v>226</v>
      </c>
      <c r="C107" s="367" t="s">
        <v>269</v>
      </c>
      <c r="D107" s="367">
        <v>99</v>
      </c>
      <c r="E107" s="368" t="s">
        <v>16</v>
      </c>
      <c r="F107" s="368" t="s">
        <v>16</v>
      </c>
      <c r="G107" s="368" t="s">
        <v>16</v>
      </c>
      <c r="H107" s="368" t="s">
        <v>16</v>
      </c>
      <c r="I107" s="368" t="s">
        <v>16</v>
      </c>
      <c r="J107" s="368" t="s">
        <v>16</v>
      </c>
      <c r="K107" s="369">
        <v>0</v>
      </c>
      <c r="L107" s="369" t="s">
        <v>16</v>
      </c>
      <c r="M107" s="369" t="s">
        <v>16</v>
      </c>
      <c r="N107" s="370" t="s">
        <v>308</v>
      </c>
      <c r="O107" s="371">
        <v>0</v>
      </c>
      <c r="P107" s="372" t="e">
        <v>#VALUE!</v>
      </c>
      <c r="Q107" s="368" t="s">
        <v>16</v>
      </c>
      <c r="R107" s="368" t="s">
        <v>16</v>
      </c>
      <c r="S107" s="368" t="s">
        <v>16</v>
      </c>
    </row>
    <row r="108" spans="2:19" ht="15.5" hidden="1" x14ac:dyDescent="0.35">
      <c r="B108" s="366" t="s">
        <v>226</v>
      </c>
      <c r="C108" s="367" t="s">
        <v>269</v>
      </c>
      <c r="D108" s="367">
        <v>100</v>
      </c>
      <c r="E108" s="368" t="s">
        <v>16</v>
      </c>
      <c r="F108" s="368" t="s">
        <v>16</v>
      </c>
      <c r="G108" s="368" t="s">
        <v>16</v>
      </c>
      <c r="H108" s="368" t="s">
        <v>16</v>
      </c>
      <c r="I108" s="368" t="s">
        <v>16</v>
      </c>
      <c r="J108" s="368" t="s">
        <v>16</v>
      </c>
      <c r="K108" s="369">
        <v>0</v>
      </c>
      <c r="L108" s="369" t="s">
        <v>16</v>
      </c>
      <c r="M108" s="369" t="s">
        <v>16</v>
      </c>
      <c r="N108" s="370" t="s">
        <v>308</v>
      </c>
      <c r="O108" s="371">
        <v>0</v>
      </c>
      <c r="P108" s="372" t="e">
        <v>#VALUE!</v>
      </c>
      <c r="Q108" s="368" t="s">
        <v>16</v>
      </c>
      <c r="R108" s="368" t="s">
        <v>16</v>
      </c>
      <c r="S108" s="368" t="s">
        <v>16</v>
      </c>
    </row>
    <row r="109" spans="2:19" ht="15.5" hidden="1" x14ac:dyDescent="0.35">
      <c r="B109" s="366" t="s">
        <v>226</v>
      </c>
      <c r="C109" s="367" t="s">
        <v>269</v>
      </c>
      <c r="D109" s="367">
        <v>101</v>
      </c>
      <c r="E109" s="368" t="s">
        <v>16</v>
      </c>
      <c r="F109" s="368" t="s">
        <v>16</v>
      </c>
      <c r="G109" s="368" t="s">
        <v>16</v>
      </c>
      <c r="H109" s="368" t="s">
        <v>16</v>
      </c>
      <c r="I109" s="368" t="s">
        <v>16</v>
      </c>
      <c r="J109" s="368" t="s">
        <v>16</v>
      </c>
      <c r="K109" s="369">
        <v>0</v>
      </c>
      <c r="L109" s="369" t="s">
        <v>16</v>
      </c>
      <c r="M109" s="369" t="s">
        <v>16</v>
      </c>
      <c r="N109" s="370" t="s">
        <v>308</v>
      </c>
      <c r="O109" s="371">
        <v>0</v>
      </c>
      <c r="P109" s="372" t="e">
        <v>#VALUE!</v>
      </c>
      <c r="Q109" s="368" t="s">
        <v>16</v>
      </c>
      <c r="R109" s="368" t="s">
        <v>16</v>
      </c>
      <c r="S109" s="368" t="s">
        <v>16</v>
      </c>
    </row>
    <row r="110" spans="2:19" ht="15.5" hidden="1" x14ac:dyDescent="0.35">
      <c r="B110" s="366" t="s">
        <v>226</v>
      </c>
      <c r="C110" s="367" t="s">
        <v>269</v>
      </c>
      <c r="D110" s="367">
        <v>102</v>
      </c>
      <c r="E110" s="368" t="s">
        <v>16</v>
      </c>
      <c r="F110" s="368" t="s">
        <v>16</v>
      </c>
      <c r="G110" s="368" t="s">
        <v>16</v>
      </c>
      <c r="H110" s="368" t="s">
        <v>16</v>
      </c>
      <c r="I110" s="368" t="s">
        <v>16</v>
      </c>
      <c r="J110" s="368" t="s">
        <v>16</v>
      </c>
      <c r="K110" s="369">
        <v>0</v>
      </c>
      <c r="L110" s="369" t="s">
        <v>16</v>
      </c>
      <c r="M110" s="369" t="s">
        <v>16</v>
      </c>
      <c r="N110" s="370" t="s">
        <v>308</v>
      </c>
      <c r="O110" s="371">
        <v>0</v>
      </c>
      <c r="P110" s="372" t="e">
        <v>#VALUE!</v>
      </c>
      <c r="Q110" s="368" t="s">
        <v>16</v>
      </c>
      <c r="R110" s="368" t="s">
        <v>16</v>
      </c>
      <c r="S110" s="368" t="s">
        <v>16</v>
      </c>
    </row>
    <row r="111" spans="2:19" ht="15.5" hidden="1" x14ac:dyDescent="0.35">
      <c r="B111" s="366" t="s">
        <v>226</v>
      </c>
      <c r="C111" s="367" t="s">
        <v>269</v>
      </c>
      <c r="D111" s="367">
        <v>103</v>
      </c>
      <c r="E111" s="368" t="s">
        <v>16</v>
      </c>
      <c r="F111" s="368" t="s">
        <v>16</v>
      </c>
      <c r="G111" s="368" t="s">
        <v>16</v>
      </c>
      <c r="H111" s="368" t="s">
        <v>16</v>
      </c>
      <c r="I111" s="368" t="s">
        <v>16</v>
      </c>
      <c r="J111" s="368" t="s">
        <v>16</v>
      </c>
      <c r="K111" s="369">
        <v>0</v>
      </c>
      <c r="L111" s="369" t="s">
        <v>16</v>
      </c>
      <c r="M111" s="369" t="s">
        <v>16</v>
      </c>
      <c r="N111" s="370" t="s">
        <v>308</v>
      </c>
      <c r="O111" s="371">
        <v>0</v>
      </c>
      <c r="P111" s="372" t="e">
        <v>#VALUE!</v>
      </c>
      <c r="Q111" s="368" t="s">
        <v>16</v>
      </c>
      <c r="R111" s="368" t="s">
        <v>16</v>
      </c>
      <c r="S111" s="368" t="s">
        <v>16</v>
      </c>
    </row>
    <row r="112" spans="2:19" ht="15.5" hidden="1" x14ac:dyDescent="0.35">
      <c r="B112" s="366" t="s">
        <v>226</v>
      </c>
      <c r="C112" s="367" t="s">
        <v>269</v>
      </c>
      <c r="D112" s="367">
        <v>104</v>
      </c>
      <c r="E112" s="368" t="s">
        <v>16</v>
      </c>
      <c r="F112" s="368" t="s">
        <v>16</v>
      </c>
      <c r="G112" s="368" t="s">
        <v>16</v>
      </c>
      <c r="H112" s="368" t="s">
        <v>16</v>
      </c>
      <c r="I112" s="368" t="s">
        <v>16</v>
      </c>
      <c r="J112" s="368" t="s">
        <v>16</v>
      </c>
      <c r="K112" s="369">
        <v>0</v>
      </c>
      <c r="L112" s="369" t="s">
        <v>16</v>
      </c>
      <c r="M112" s="369" t="s">
        <v>16</v>
      </c>
      <c r="N112" s="370" t="s">
        <v>308</v>
      </c>
      <c r="O112" s="371">
        <v>0</v>
      </c>
      <c r="P112" s="372" t="e">
        <v>#VALUE!</v>
      </c>
      <c r="Q112" s="368" t="s">
        <v>16</v>
      </c>
      <c r="R112" s="368" t="s">
        <v>16</v>
      </c>
      <c r="S112" s="368" t="s">
        <v>16</v>
      </c>
    </row>
    <row r="113" spans="2:19" ht="15.5" hidden="1" x14ac:dyDescent="0.35">
      <c r="B113" s="366" t="s">
        <v>226</v>
      </c>
      <c r="C113" s="367" t="s">
        <v>269</v>
      </c>
      <c r="D113" s="367">
        <v>105</v>
      </c>
      <c r="E113" s="368" t="s">
        <v>16</v>
      </c>
      <c r="F113" s="368" t="s">
        <v>16</v>
      </c>
      <c r="G113" s="368" t="s">
        <v>16</v>
      </c>
      <c r="H113" s="368" t="s">
        <v>16</v>
      </c>
      <c r="I113" s="368" t="s">
        <v>16</v>
      </c>
      <c r="J113" s="368" t="s">
        <v>16</v>
      </c>
      <c r="K113" s="369">
        <v>0</v>
      </c>
      <c r="L113" s="369" t="s">
        <v>16</v>
      </c>
      <c r="M113" s="369" t="s">
        <v>16</v>
      </c>
      <c r="N113" s="370" t="s">
        <v>308</v>
      </c>
      <c r="O113" s="371">
        <v>0</v>
      </c>
      <c r="P113" s="372" t="e">
        <v>#VALUE!</v>
      </c>
      <c r="Q113" s="368" t="s">
        <v>16</v>
      </c>
      <c r="R113" s="368" t="s">
        <v>16</v>
      </c>
      <c r="S113" s="368" t="s">
        <v>16</v>
      </c>
    </row>
    <row r="114" spans="2:19" ht="15.5" hidden="1" x14ac:dyDescent="0.35">
      <c r="B114" s="366" t="s">
        <v>226</v>
      </c>
      <c r="C114" s="367" t="s">
        <v>269</v>
      </c>
      <c r="D114" s="367">
        <v>106</v>
      </c>
      <c r="E114" s="368" t="s">
        <v>16</v>
      </c>
      <c r="F114" s="368" t="s">
        <v>16</v>
      </c>
      <c r="G114" s="368" t="s">
        <v>16</v>
      </c>
      <c r="H114" s="368" t="s">
        <v>16</v>
      </c>
      <c r="I114" s="368" t="s">
        <v>16</v>
      </c>
      <c r="J114" s="368" t="s">
        <v>16</v>
      </c>
      <c r="K114" s="369">
        <v>0</v>
      </c>
      <c r="L114" s="369" t="s">
        <v>16</v>
      </c>
      <c r="M114" s="369" t="s">
        <v>16</v>
      </c>
      <c r="N114" s="370" t="s">
        <v>308</v>
      </c>
      <c r="O114" s="371">
        <v>0</v>
      </c>
      <c r="P114" s="372" t="e">
        <v>#VALUE!</v>
      </c>
      <c r="Q114" s="368" t="s">
        <v>16</v>
      </c>
      <c r="R114" s="368" t="s">
        <v>16</v>
      </c>
      <c r="S114" s="368" t="s">
        <v>16</v>
      </c>
    </row>
    <row r="115" spans="2:19" ht="15.5" hidden="1" x14ac:dyDescent="0.35">
      <c r="B115" s="366" t="s">
        <v>226</v>
      </c>
      <c r="C115" s="367" t="s">
        <v>269</v>
      </c>
      <c r="D115" s="367">
        <v>107</v>
      </c>
      <c r="E115" s="368" t="s">
        <v>16</v>
      </c>
      <c r="F115" s="368" t="s">
        <v>16</v>
      </c>
      <c r="G115" s="368" t="s">
        <v>16</v>
      </c>
      <c r="H115" s="368" t="s">
        <v>16</v>
      </c>
      <c r="I115" s="368" t="s">
        <v>16</v>
      </c>
      <c r="J115" s="368" t="s">
        <v>16</v>
      </c>
      <c r="K115" s="369">
        <v>0</v>
      </c>
      <c r="L115" s="369" t="s">
        <v>16</v>
      </c>
      <c r="M115" s="369" t="s">
        <v>16</v>
      </c>
      <c r="N115" s="370" t="s">
        <v>308</v>
      </c>
      <c r="O115" s="371">
        <v>0</v>
      </c>
      <c r="P115" s="372" t="e">
        <v>#VALUE!</v>
      </c>
      <c r="Q115" s="368" t="s">
        <v>16</v>
      </c>
      <c r="R115" s="368" t="s">
        <v>16</v>
      </c>
      <c r="S115" s="368" t="s">
        <v>16</v>
      </c>
    </row>
    <row r="116" spans="2:19" ht="15.5" hidden="1" x14ac:dyDescent="0.35">
      <c r="B116" s="366" t="s">
        <v>226</v>
      </c>
      <c r="C116" s="367" t="s">
        <v>269</v>
      </c>
      <c r="D116" s="367">
        <v>108</v>
      </c>
      <c r="E116" s="368" t="s">
        <v>16</v>
      </c>
      <c r="F116" s="368" t="s">
        <v>16</v>
      </c>
      <c r="G116" s="368" t="s">
        <v>16</v>
      </c>
      <c r="H116" s="368" t="s">
        <v>16</v>
      </c>
      <c r="I116" s="368" t="s">
        <v>16</v>
      </c>
      <c r="J116" s="368" t="s">
        <v>16</v>
      </c>
      <c r="K116" s="369">
        <v>0</v>
      </c>
      <c r="L116" s="369" t="s">
        <v>16</v>
      </c>
      <c r="M116" s="369" t="s">
        <v>16</v>
      </c>
      <c r="N116" s="370" t="s">
        <v>308</v>
      </c>
      <c r="O116" s="371">
        <v>0</v>
      </c>
      <c r="P116" s="372" t="e">
        <v>#VALUE!</v>
      </c>
      <c r="Q116" s="368" t="s">
        <v>16</v>
      </c>
      <c r="R116" s="368" t="s">
        <v>16</v>
      </c>
      <c r="S116" s="368" t="s">
        <v>16</v>
      </c>
    </row>
    <row r="117" spans="2:19" ht="15.5" hidden="1" x14ac:dyDescent="0.35">
      <c r="B117" s="366" t="s">
        <v>226</v>
      </c>
      <c r="C117" s="367" t="s">
        <v>269</v>
      </c>
      <c r="D117" s="367">
        <v>109</v>
      </c>
      <c r="E117" s="368" t="s">
        <v>16</v>
      </c>
      <c r="F117" s="368" t="s">
        <v>16</v>
      </c>
      <c r="G117" s="368" t="s">
        <v>16</v>
      </c>
      <c r="H117" s="368" t="s">
        <v>16</v>
      </c>
      <c r="I117" s="368" t="s">
        <v>16</v>
      </c>
      <c r="J117" s="368" t="s">
        <v>16</v>
      </c>
      <c r="K117" s="369">
        <v>0</v>
      </c>
      <c r="L117" s="369" t="s">
        <v>16</v>
      </c>
      <c r="M117" s="369" t="s">
        <v>16</v>
      </c>
      <c r="N117" s="370" t="s">
        <v>308</v>
      </c>
      <c r="O117" s="371">
        <v>0</v>
      </c>
      <c r="P117" s="372" t="e">
        <v>#VALUE!</v>
      </c>
      <c r="Q117" s="368" t="s">
        <v>16</v>
      </c>
      <c r="R117" s="368" t="s">
        <v>16</v>
      </c>
      <c r="S117" s="368" t="s">
        <v>16</v>
      </c>
    </row>
    <row r="118" spans="2:19" ht="15.5" hidden="1" x14ac:dyDescent="0.35">
      <c r="B118" s="366" t="s">
        <v>226</v>
      </c>
      <c r="C118" s="367" t="s">
        <v>269</v>
      </c>
      <c r="D118" s="367">
        <v>110</v>
      </c>
      <c r="E118" s="368" t="s">
        <v>16</v>
      </c>
      <c r="F118" s="368" t="s">
        <v>16</v>
      </c>
      <c r="G118" s="368" t="s">
        <v>16</v>
      </c>
      <c r="H118" s="368" t="s">
        <v>16</v>
      </c>
      <c r="I118" s="368" t="s">
        <v>16</v>
      </c>
      <c r="J118" s="368" t="s">
        <v>16</v>
      </c>
      <c r="K118" s="369">
        <v>0</v>
      </c>
      <c r="L118" s="369" t="s">
        <v>16</v>
      </c>
      <c r="M118" s="369" t="s">
        <v>16</v>
      </c>
      <c r="N118" s="370" t="s">
        <v>308</v>
      </c>
      <c r="O118" s="371">
        <v>0</v>
      </c>
      <c r="P118" s="372" t="e">
        <v>#VALUE!</v>
      </c>
      <c r="Q118" s="368" t="s">
        <v>16</v>
      </c>
      <c r="R118" s="368" t="s">
        <v>16</v>
      </c>
      <c r="S118" s="368" t="s">
        <v>16</v>
      </c>
    </row>
    <row r="119" spans="2:19" ht="15.5" hidden="1" x14ac:dyDescent="0.35">
      <c r="B119" s="366" t="s">
        <v>226</v>
      </c>
      <c r="C119" s="367" t="s">
        <v>269</v>
      </c>
      <c r="D119" s="367">
        <v>111</v>
      </c>
      <c r="E119" s="368" t="s">
        <v>16</v>
      </c>
      <c r="F119" s="368" t="s">
        <v>16</v>
      </c>
      <c r="G119" s="368" t="s">
        <v>16</v>
      </c>
      <c r="H119" s="368" t="s">
        <v>16</v>
      </c>
      <c r="I119" s="368" t="s">
        <v>16</v>
      </c>
      <c r="J119" s="368" t="s">
        <v>16</v>
      </c>
      <c r="K119" s="369">
        <v>0</v>
      </c>
      <c r="L119" s="369" t="s">
        <v>16</v>
      </c>
      <c r="M119" s="369" t="s">
        <v>16</v>
      </c>
      <c r="N119" s="370" t="s">
        <v>308</v>
      </c>
      <c r="O119" s="371">
        <v>0</v>
      </c>
      <c r="P119" s="372" t="e">
        <v>#VALUE!</v>
      </c>
      <c r="Q119" s="368" t="s">
        <v>16</v>
      </c>
      <c r="R119" s="368" t="s">
        <v>16</v>
      </c>
      <c r="S119" s="368" t="s">
        <v>16</v>
      </c>
    </row>
    <row r="120" spans="2:19" ht="15.5" hidden="1" x14ac:dyDescent="0.35">
      <c r="B120" s="366" t="s">
        <v>226</v>
      </c>
      <c r="C120" s="367" t="s">
        <v>269</v>
      </c>
      <c r="D120" s="367">
        <v>112</v>
      </c>
      <c r="E120" s="368" t="s">
        <v>16</v>
      </c>
      <c r="F120" s="368" t="s">
        <v>16</v>
      </c>
      <c r="G120" s="368" t="s">
        <v>16</v>
      </c>
      <c r="H120" s="368" t="s">
        <v>16</v>
      </c>
      <c r="I120" s="368" t="s">
        <v>16</v>
      </c>
      <c r="J120" s="368" t="s">
        <v>16</v>
      </c>
      <c r="K120" s="369">
        <v>0</v>
      </c>
      <c r="L120" s="369" t="s">
        <v>16</v>
      </c>
      <c r="M120" s="369" t="s">
        <v>16</v>
      </c>
      <c r="N120" s="370" t="s">
        <v>308</v>
      </c>
      <c r="O120" s="371">
        <v>0</v>
      </c>
      <c r="P120" s="372" t="e">
        <v>#VALUE!</v>
      </c>
      <c r="Q120" s="368" t="s">
        <v>16</v>
      </c>
      <c r="R120" s="368" t="s">
        <v>16</v>
      </c>
      <c r="S120" s="368" t="s">
        <v>16</v>
      </c>
    </row>
    <row r="121" spans="2:19" ht="15.5" hidden="1" x14ac:dyDescent="0.35">
      <c r="B121" s="366" t="s">
        <v>226</v>
      </c>
      <c r="C121" s="367" t="s">
        <v>269</v>
      </c>
      <c r="D121" s="367">
        <v>113</v>
      </c>
      <c r="E121" s="368" t="s">
        <v>16</v>
      </c>
      <c r="F121" s="368" t="s">
        <v>16</v>
      </c>
      <c r="G121" s="368" t="s">
        <v>16</v>
      </c>
      <c r="H121" s="368" t="s">
        <v>16</v>
      </c>
      <c r="I121" s="368" t="s">
        <v>16</v>
      </c>
      <c r="J121" s="368" t="s">
        <v>16</v>
      </c>
      <c r="K121" s="369">
        <v>0</v>
      </c>
      <c r="L121" s="369" t="s">
        <v>16</v>
      </c>
      <c r="M121" s="369" t="s">
        <v>16</v>
      </c>
      <c r="N121" s="370" t="s">
        <v>308</v>
      </c>
      <c r="O121" s="371">
        <v>0</v>
      </c>
      <c r="P121" s="372" t="e">
        <v>#VALUE!</v>
      </c>
      <c r="Q121" s="368" t="s">
        <v>16</v>
      </c>
      <c r="R121" s="368" t="s">
        <v>16</v>
      </c>
      <c r="S121" s="368" t="s">
        <v>16</v>
      </c>
    </row>
    <row r="122" spans="2:19" ht="15.5" hidden="1" x14ac:dyDescent="0.35">
      <c r="B122" s="366" t="s">
        <v>226</v>
      </c>
      <c r="C122" s="367" t="s">
        <v>269</v>
      </c>
      <c r="D122" s="367">
        <v>114</v>
      </c>
      <c r="E122" s="368" t="s">
        <v>16</v>
      </c>
      <c r="F122" s="368" t="s">
        <v>16</v>
      </c>
      <c r="G122" s="368" t="s">
        <v>16</v>
      </c>
      <c r="H122" s="368" t="s">
        <v>16</v>
      </c>
      <c r="I122" s="368" t="s">
        <v>16</v>
      </c>
      <c r="J122" s="368" t="s">
        <v>16</v>
      </c>
      <c r="K122" s="369">
        <v>0</v>
      </c>
      <c r="L122" s="369" t="s">
        <v>16</v>
      </c>
      <c r="M122" s="369" t="s">
        <v>16</v>
      </c>
      <c r="N122" s="370" t="s">
        <v>308</v>
      </c>
      <c r="O122" s="371">
        <v>0</v>
      </c>
      <c r="P122" s="372" t="e">
        <v>#VALUE!</v>
      </c>
      <c r="Q122" s="368" t="s">
        <v>16</v>
      </c>
      <c r="R122" s="368" t="s">
        <v>16</v>
      </c>
      <c r="S122" s="368" t="s">
        <v>16</v>
      </c>
    </row>
    <row r="123" spans="2:19" ht="15.5" hidden="1" x14ac:dyDescent="0.35">
      <c r="B123" s="366" t="s">
        <v>226</v>
      </c>
      <c r="C123" s="367" t="s">
        <v>269</v>
      </c>
      <c r="D123" s="367">
        <v>115</v>
      </c>
      <c r="E123" s="368" t="s">
        <v>16</v>
      </c>
      <c r="F123" s="368" t="s">
        <v>16</v>
      </c>
      <c r="G123" s="368" t="s">
        <v>16</v>
      </c>
      <c r="H123" s="368" t="s">
        <v>16</v>
      </c>
      <c r="I123" s="368" t="s">
        <v>16</v>
      </c>
      <c r="J123" s="368" t="s">
        <v>16</v>
      </c>
      <c r="K123" s="369">
        <v>0</v>
      </c>
      <c r="L123" s="369" t="s">
        <v>16</v>
      </c>
      <c r="M123" s="369" t="s">
        <v>16</v>
      </c>
      <c r="N123" s="370" t="s">
        <v>308</v>
      </c>
      <c r="O123" s="371">
        <v>0</v>
      </c>
      <c r="P123" s="372" t="e">
        <v>#VALUE!</v>
      </c>
      <c r="Q123" s="368" t="s">
        <v>16</v>
      </c>
      <c r="R123" s="368" t="s">
        <v>16</v>
      </c>
      <c r="S123" s="368" t="s">
        <v>16</v>
      </c>
    </row>
    <row r="124" spans="2:19" ht="15.5" hidden="1" x14ac:dyDescent="0.35">
      <c r="B124" s="366" t="s">
        <v>226</v>
      </c>
      <c r="C124" s="367" t="s">
        <v>269</v>
      </c>
      <c r="D124" s="367">
        <v>116</v>
      </c>
      <c r="E124" s="368" t="s">
        <v>16</v>
      </c>
      <c r="F124" s="368" t="s">
        <v>16</v>
      </c>
      <c r="G124" s="368" t="s">
        <v>16</v>
      </c>
      <c r="H124" s="368" t="s">
        <v>16</v>
      </c>
      <c r="I124" s="368" t="s">
        <v>16</v>
      </c>
      <c r="J124" s="368" t="s">
        <v>16</v>
      </c>
      <c r="K124" s="369">
        <v>0</v>
      </c>
      <c r="L124" s="369" t="s">
        <v>16</v>
      </c>
      <c r="M124" s="369" t="s">
        <v>16</v>
      </c>
      <c r="N124" s="370" t="s">
        <v>308</v>
      </c>
      <c r="O124" s="371">
        <v>0</v>
      </c>
      <c r="P124" s="372" t="e">
        <v>#VALUE!</v>
      </c>
      <c r="Q124" s="368" t="s">
        <v>16</v>
      </c>
      <c r="R124" s="368" t="s">
        <v>16</v>
      </c>
      <c r="S124" s="368" t="s">
        <v>16</v>
      </c>
    </row>
    <row r="125" spans="2:19" ht="15.5" hidden="1" x14ac:dyDescent="0.35">
      <c r="B125" s="366" t="s">
        <v>226</v>
      </c>
      <c r="C125" s="367" t="s">
        <v>269</v>
      </c>
      <c r="D125" s="367">
        <v>117</v>
      </c>
      <c r="E125" s="368" t="s">
        <v>16</v>
      </c>
      <c r="F125" s="368" t="s">
        <v>16</v>
      </c>
      <c r="G125" s="368" t="s">
        <v>16</v>
      </c>
      <c r="H125" s="368" t="s">
        <v>16</v>
      </c>
      <c r="I125" s="368" t="s">
        <v>16</v>
      </c>
      <c r="J125" s="368" t="s">
        <v>16</v>
      </c>
      <c r="K125" s="369">
        <v>0</v>
      </c>
      <c r="L125" s="369" t="s">
        <v>16</v>
      </c>
      <c r="M125" s="369" t="s">
        <v>16</v>
      </c>
      <c r="N125" s="370" t="s">
        <v>308</v>
      </c>
      <c r="O125" s="371">
        <v>0</v>
      </c>
      <c r="P125" s="372" t="e">
        <v>#VALUE!</v>
      </c>
      <c r="Q125" s="368" t="s">
        <v>16</v>
      </c>
      <c r="R125" s="368" t="s">
        <v>16</v>
      </c>
      <c r="S125" s="368" t="s">
        <v>16</v>
      </c>
    </row>
    <row r="126" spans="2:19" ht="15.5" hidden="1" x14ac:dyDescent="0.35">
      <c r="B126" s="366" t="s">
        <v>226</v>
      </c>
      <c r="C126" s="367" t="s">
        <v>269</v>
      </c>
      <c r="D126" s="367">
        <v>118</v>
      </c>
      <c r="E126" s="368" t="s">
        <v>16</v>
      </c>
      <c r="F126" s="368" t="s">
        <v>16</v>
      </c>
      <c r="G126" s="368" t="s">
        <v>16</v>
      </c>
      <c r="H126" s="368" t="s">
        <v>16</v>
      </c>
      <c r="I126" s="368" t="s">
        <v>16</v>
      </c>
      <c r="J126" s="368" t="s">
        <v>16</v>
      </c>
      <c r="K126" s="369">
        <v>0</v>
      </c>
      <c r="L126" s="369" t="s">
        <v>16</v>
      </c>
      <c r="M126" s="369" t="s">
        <v>16</v>
      </c>
      <c r="N126" s="370" t="s">
        <v>308</v>
      </c>
      <c r="O126" s="371">
        <v>0</v>
      </c>
      <c r="P126" s="372" t="e">
        <v>#VALUE!</v>
      </c>
      <c r="Q126" s="368" t="s">
        <v>16</v>
      </c>
      <c r="R126" s="368" t="s">
        <v>16</v>
      </c>
      <c r="S126" s="368" t="s">
        <v>16</v>
      </c>
    </row>
    <row r="127" spans="2:19" ht="15.5" hidden="1" x14ac:dyDescent="0.35">
      <c r="B127" s="366" t="s">
        <v>226</v>
      </c>
      <c r="C127" s="367" t="s">
        <v>269</v>
      </c>
      <c r="D127" s="367">
        <v>119</v>
      </c>
      <c r="E127" s="368" t="s">
        <v>16</v>
      </c>
      <c r="F127" s="368" t="s">
        <v>16</v>
      </c>
      <c r="G127" s="368" t="s">
        <v>16</v>
      </c>
      <c r="H127" s="368" t="s">
        <v>16</v>
      </c>
      <c r="I127" s="368" t="s">
        <v>16</v>
      </c>
      <c r="J127" s="368" t="s">
        <v>16</v>
      </c>
      <c r="K127" s="369">
        <v>0</v>
      </c>
      <c r="L127" s="369" t="s">
        <v>16</v>
      </c>
      <c r="M127" s="369" t="s">
        <v>16</v>
      </c>
      <c r="N127" s="370" t="s">
        <v>308</v>
      </c>
      <c r="O127" s="371">
        <v>0</v>
      </c>
      <c r="P127" s="372" t="e">
        <v>#VALUE!</v>
      </c>
      <c r="Q127" s="368" t="s">
        <v>16</v>
      </c>
      <c r="R127" s="368" t="s">
        <v>16</v>
      </c>
      <c r="S127" s="368" t="s">
        <v>16</v>
      </c>
    </row>
    <row r="128" spans="2:19" ht="15.5" hidden="1" x14ac:dyDescent="0.35">
      <c r="B128" s="366" t="s">
        <v>226</v>
      </c>
      <c r="C128" s="367" t="s">
        <v>269</v>
      </c>
      <c r="D128" s="367">
        <v>120</v>
      </c>
      <c r="E128" s="368" t="s">
        <v>16</v>
      </c>
      <c r="F128" s="368" t="s">
        <v>16</v>
      </c>
      <c r="G128" s="368" t="s">
        <v>16</v>
      </c>
      <c r="H128" s="368" t="s">
        <v>16</v>
      </c>
      <c r="I128" s="368" t="s">
        <v>16</v>
      </c>
      <c r="J128" s="368" t="s">
        <v>16</v>
      </c>
      <c r="K128" s="369">
        <v>0</v>
      </c>
      <c r="L128" s="369" t="s">
        <v>16</v>
      </c>
      <c r="M128" s="369" t="s">
        <v>16</v>
      </c>
      <c r="N128" s="370" t="s">
        <v>308</v>
      </c>
      <c r="O128" s="371">
        <v>0</v>
      </c>
      <c r="P128" s="372" t="e">
        <v>#VALUE!</v>
      </c>
      <c r="Q128" s="368" t="s">
        <v>16</v>
      </c>
      <c r="R128" s="368" t="s">
        <v>16</v>
      </c>
      <c r="S128" s="368" t="s">
        <v>16</v>
      </c>
    </row>
    <row r="129" spans="2:19" ht="15.5" hidden="1" x14ac:dyDescent="0.35">
      <c r="B129" s="366" t="s">
        <v>226</v>
      </c>
      <c r="C129" s="367" t="s">
        <v>269</v>
      </c>
      <c r="D129" s="367">
        <v>121</v>
      </c>
      <c r="E129" s="368" t="s">
        <v>16</v>
      </c>
      <c r="F129" s="368" t="s">
        <v>16</v>
      </c>
      <c r="G129" s="368" t="s">
        <v>16</v>
      </c>
      <c r="H129" s="368" t="s">
        <v>16</v>
      </c>
      <c r="I129" s="368" t="s">
        <v>16</v>
      </c>
      <c r="J129" s="368" t="s">
        <v>16</v>
      </c>
      <c r="K129" s="369">
        <v>0</v>
      </c>
      <c r="L129" s="369" t="s">
        <v>16</v>
      </c>
      <c r="M129" s="369" t="s">
        <v>16</v>
      </c>
      <c r="N129" s="370" t="s">
        <v>308</v>
      </c>
      <c r="O129" s="371">
        <v>0</v>
      </c>
      <c r="P129" s="372" t="e">
        <v>#VALUE!</v>
      </c>
      <c r="Q129" s="368" t="s">
        <v>16</v>
      </c>
      <c r="R129" s="368" t="s">
        <v>16</v>
      </c>
      <c r="S129" s="368" t="s">
        <v>16</v>
      </c>
    </row>
    <row r="130" spans="2:19" ht="15.5" hidden="1" x14ac:dyDescent="0.35">
      <c r="B130" s="366" t="s">
        <v>226</v>
      </c>
      <c r="C130" s="367" t="s">
        <v>269</v>
      </c>
      <c r="D130" s="367">
        <v>122</v>
      </c>
      <c r="E130" s="368" t="s">
        <v>16</v>
      </c>
      <c r="F130" s="368" t="s">
        <v>16</v>
      </c>
      <c r="G130" s="368" t="s">
        <v>16</v>
      </c>
      <c r="H130" s="368" t="s">
        <v>16</v>
      </c>
      <c r="I130" s="368" t="s">
        <v>16</v>
      </c>
      <c r="J130" s="368" t="s">
        <v>16</v>
      </c>
      <c r="K130" s="369">
        <v>0</v>
      </c>
      <c r="L130" s="369" t="s">
        <v>16</v>
      </c>
      <c r="M130" s="369" t="s">
        <v>16</v>
      </c>
      <c r="N130" s="370" t="s">
        <v>308</v>
      </c>
      <c r="O130" s="371">
        <v>0</v>
      </c>
      <c r="P130" s="372" t="e">
        <v>#VALUE!</v>
      </c>
      <c r="Q130" s="368" t="s">
        <v>16</v>
      </c>
      <c r="R130" s="368" t="s">
        <v>16</v>
      </c>
      <c r="S130" s="368" t="s">
        <v>16</v>
      </c>
    </row>
    <row r="131" spans="2:19" ht="15.5" hidden="1" x14ac:dyDescent="0.35">
      <c r="B131" s="366" t="s">
        <v>226</v>
      </c>
      <c r="C131" s="367" t="s">
        <v>269</v>
      </c>
      <c r="D131" s="367">
        <v>123</v>
      </c>
      <c r="E131" s="368" t="s">
        <v>16</v>
      </c>
      <c r="F131" s="368" t="s">
        <v>16</v>
      </c>
      <c r="G131" s="368" t="s">
        <v>16</v>
      </c>
      <c r="H131" s="368" t="s">
        <v>16</v>
      </c>
      <c r="I131" s="368" t="s">
        <v>16</v>
      </c>
      <c r="J131" s="368" t="s">
        <v>16</v>
      </c>
      <c r="K131" s="369">
        <v>0</v>
      </c>
      <c r="L131" s="369" t="s">
        <v>16</v>
      </c>
      <c r="M131" s="369" t="s">
        <v>16</v>
      </c>
      <c r="N131" s="370" t="s">
        <v>308</v>
      </c>
      <c r="O131" s="371">
        <v>0</v>
      </c>
      <c r="P131" s="372" t="e">
        <v>#VALUE!</v>
      </c>
      <c r="Q131" s="368" t="s">
        <v>16</v>
      </c>
      <c r="R131" s="368" t="s">
        <v>16</v>
      </c>
      <c r="S131" s="368" t="s">
        <v>16</v>
      </c>
    </row>
    <row r="132" spans="2:19" ht="15.5" hidden="1" x14ac:dyDescent="0.35">
      <c r="B132" s="366" t="s">
        <v>226</v>
      </c>
      <c r="C132" s="367" t="s">
        <v>269</v>
      </c>
      <c r="D132" s="367">
        <v>124</v>
      </c>
      <c r="E132" s="368" t="s">
        <v>16</v>
      </c>
      <c r="F132" s="368" t="s">
        <v>16</v>
      </c>
      <c r="G132" s="368" t="s">
        <v>16</v>
      </c>
      <c r="H132" s="368" t="s">
        <v>16</v>
      </c>
      <c r="I132" s="368" t="s">
        <v>16</v>
      </c>
      <c r="J132" s="368" t="s">
        <v>16</v>
      </c>
      <c r="K132" s="369">
        <v>0</v>
      </c>
      <c r="L132" s="369" t="s">
        <v>16</v>
      </c>
      <c r="M132" s="369" t="s">
        <v>16</v>
      </c>
      <c r="N132" s="370" t="s">
        <v>308</v>
      </c>
      <c r="O132" s="371">
        <v>0</v>
      </c>
      <c r="P132" s="372" t="e">
        <v>#VALUE!</v>
      </c>
      <c r="Q132" s="368" t="s">
        <v>16</v>
      </c>
      <c r="R132" s="368" t="s">
        <v>16</v>
      </c>
      <c r="S132" s="368" t="s">
        <v>16</v>
      </c>
    </row>
    <row r="133" spans="2:19" ht="15.5" hidden="1" x14ac:dyDescent="0.35">
      <c r="B133" s="366" t="s">
        <v>226</v>
      </c>
      <c r="C133" s="367" t="s">
        <v>269</v>
      </c>
      <c r="D133" s="367">
        <v>125</v>
      </c>
      <c r="E133" s="368" t="s">
        <v>16</v>
      </c>
      <c r="F133" s="368" t="s">
        <v>16</v>
      </c>
      <c r="G133" s="368" t="s">
        <v>16</v>
      </c>
      <c r="H133" s="368" t="s">
        <v>16</v>
      </c>
      <c r="I133" s="368" t="s">
        <v>16</v>
      </c>
      <c r="J133" s="368" t="s">
        <v>16</v>
      </c>
      <c r="K133" s="369">
        <v>0</v>
      </c>
      <c r="L133" s="369" t="s">
        <v>16</v>
      </c>
      <c r="M133" s="369" t="s">
        <v>16</v>
      </c>
      <c r="N133" s="370" t="s">
        <v>308</v>
      </c>
      <c r="O133" s="371">
        <v>0</v>
      </c>
      <c r="P133" s="372" t="e">
        <v>#VALUE!</v>
      </c>
      <c r="Q133" s="368" t="s">
        <v>16</v>
      </c>
      <c r="R133" s="368" t="s">
        <v>16</v>
      </c>
      <c r="S133" s="368" t="s">
        <v>16</v>
      </c>
    </row>
    <row r="134" spans="2:19" ht="15.5" hidden="1" x14ac:dyDescent="0.35">
      <c r="B134" s="366" t="s">
        <v>226</v>
      </c>
      <c r="C134" s="367" t="s">
        <v>269</v>
      </c>
      <c r="D134" s="367">
        <v>126</v>
      </c>
      <c r="E134" s="368" t="s">
        <v>16</v>
      </c>
      <c r="F134" s="368" t="s">
        <v>16</v>
      </c>
      <c r="G134" s="368" t="s">
        <v>16</v>
      </c>
      <c r="H134" s="368" t="s">
        <v>16</v>
      </c>
      <c r="I134" s="368" t="s">
        <v>16</v>
      </c>
      <c r="J134" s="368" t="s">
        <v>16</v>
      </c>
      <c r="K134" s="369">
        <v>0</v>
      </c>
      <c r="L134" s="369" t="s">
        <v>16</v>
      </c>
      <c r="M134" s="369" t="s">
        <v>16</v>
      </c>
      <c r="N134" s="370" t="s">
        <v>308</v>
      </c>
      <c r="O134" s="371">
        <v>0</v>
      </c>
      <c r="P134" s="372" t="e">
        <v>#VALUE!</v>
      </c>
      <c r="Q134" s="368" t="s">
        <v>16</v>
      </c>
      <c r="R134" s="368" t="s">
        <v>16</v>
      </c>
      <c r="S134" s="368" t="s">
        <v>16</v>
      </c>
    </row>
    <row r="135" spans="2:19" ht="15.5" hidden="1" x14ac:dyDescent="0.35">
      <c r="B135" s="366" t="s">
        <v>226</v>
      </c>
      <c r="C135" s="367" t="s">
        <v>269</v>
      </c>
      <c r="D135" s="367">
        <v>127</v>
      </c>
      <c r="E135" s="368" t="s">
        <v>16</v>
      </c>
      <c r="F135" s="368" t="s">
        <v>16</v>
      </c>
      <c r="G135" s="368" t="s">
        <v>16</v>
      </c>
      <c r="H135" s="368" t="s">
        <v>16</v>
      </c>
      <c r="I135" s="368" t="s">
        <v>16</v>
      </c>
      <c r="J135" s="368" t="s">
        <v>16</v>
      </c>
      <c r="K135" s="369">
        <v>0</v>
      </c>
      <c r="L135" s="369" t="s">
        <v>16</v>
      </c>
      <c r="M135" s="369" t="s">
        <v>16</v>
      </c>
      <c r="N135" s="370" t="s">
        <v>308</v>
      </c>
      <c r="O135" s="371">
        <v>0</v>
      </c>
      <c r="P135" s="372" t="e">
        <v>#VALUE!</v>
      </c>
      <c r="Q135" s="368" t="s">
        <v>16</v>
      </c>
      <c r="R135" s="368" t="s">
        <v>16</v>
      </c>
      <c r="S135" s="368" t="s">
        <v>16</v>
      </c>
    </row>
    <row r="136" spans="2:19" ht="15.5" hidden="1" x14ac:dyDescent="0.35">
      <c r="B136" s="366" t="s">
        <v>226</v>
      </c>
      <c r="C136" s="367" t="s">
        <v>269</v>
      </c>
      <c r="D136" s="367">
        <v>128</v>
      </c>
      <c r="E136" s="368" t="s">
        <v>16</v>
      </c>
      <c r="F136" s="368" t="s">
        <v>16</v>
      </c>
      <c r="G136" s="368" t="s">
        <v>16</v>
      </c>
      <c r="H136" s="368" t="s">
        <v>16</v>
      </c>
      <c r="I136" s="368" t="s">
        <v>16</v>
      </c>
      <c r="J136" s="368" t="s">
        <v>16</v>
      </c>
      <c r="K136" s="369">
        <v>0</v>
      </c>
      <c r="L136" s="369" t="s">
        <v>16</v>
      </c>
      <c r="M136" s="369" t="s">
        <v>16</v>
      </c>
      <c r="N136" s="370" t="s">
        <v>308</v>
      </c>
      <c r="O136" s="371">
        <v>0</v>
      </c>
      <c r="P136" s="372" t="e">
        <v>#VALUE!</v>
      </c>
      <c r="Q136" s="368" t="s">
        <v>16</v>
      </c>
      <c r="R136" s="368" t="s">
        <v>16</v>
      </c>
      <c r="S136" s="368" t="s">
        <v>16</v>
      </c>
    </row>
    <row r="137" spans="2:19" ht="15.5" hidden="1" x14ac:dyDescent="0.35">
      <c r="B137" s="366" t="s">
        <v>226</v>
      </c>
      <c r="C137" s="367" t="s">
        <v>269</v>
      </c>
      <c r="D137" s="367">
        <v>129</v>
      </c>
      <c r="E137" s="368" t="s">
        <v>16</v>
      </c>
      <c r="F137" s="368" t="s">
        <v>16</v>
      </c>
      <c r="G137" s="368" t="s">
        <v>16</v>
      </c>
      <c r="H137" s="368" t="s">
        <v>16</v>
      </c>
      <c r="I137" s="368" t="s">
        <v>16</v>
      </c>
      <c r="J137" s="368" t="s">
        <v>16</v>
      </c>
      <c r="K137" s="369">
        <v>0</v>
      </c>
      <c r="L137" s="369" t="s">
        <v>16</v>
      </c>
      <c r="M137" s="369" t="s">
        <v>16</v>
      </c>
      <c r="N137" s="370" t="s">
        <v>308</v>
      </c>
      <c r="O137" s="371">
        <v>0</v>
      </c>
      <c r="P137" s="372" t="e">
        <v>#VALUE!</v>
      </c>
      <c r="Q137" s="368" t="s">
        <v>16</v>
      </c>
      <c r="R137" s="368" t="s">
        <v>16</v>
      </c>
      <c r="S137" s="368" t="s">
        <v>16</v>
      </c>
    </row>
    <row r="138" spans="2:19" ht="15.5" hidden="1" x14ac:dyDescent="0.35">
      <c r="B138" s="366" t="s">
        <v>226</v>
      </c>
      <c r="C138" s="367" t="s">
        <v>269</v>
      </c>
      <c r="D138" s="367">
        <v>130</v>
      </c>
      <c r="E138" s="368" t="s">
        <v>16</v>
      </c>
      <c r="F138" s="368" t="s">
        <v>16</v>
      </c>
      <c r="G138" s="368" t="s">
        <v>16</v>
      </c>
      <c r="H138" s="368" t="s">
        <v>16</v>
      </c>
      <c r="I138" s="368" t="s">
        <v>16</v>
      </c>
      <c r="J138" s="368" t="s">
        <v>16</v>
      </c>
      <c r="K138" s="369">
        <v>0</v>
      </c>
      <c r="L138" s="369" t="s">
        <v>16</v>
      </c>
      <c r="M138" s="369" t="s">
        <v>16</v>
      </c>
      <c r="N138" s="370" t="s">
        <v>308</v>
      </c>
      <c r="O138" s="371">
        <v>0</v>
      </c>
      <c r="P138" s="372" t="e">
        <v>#VALUE!</v>
      </c>
      <c r="Q138" s="368" t="s">
        <v>16</v>
      </c>
      <c r="R138" s="368" t="s">
        <v>16</v>
      </c>
      <c r="S138" s="368" t="s">
        <v>16</v>
      </c>
    </row>
    <row r="139" spans="2:19" ht="15.5" hidden="1" x14ac:dyDescent="0.35">
      <c r="B139" s="366" t="s">
        <v>226</v>
      </c>
      <c r="C139" s="367" t="s">
        <v>269</v>
      </c>
      <c r="D139" s="367">
        <v>131</v>
      </c>
      <c r="E139" s="368" t="s">
        <v>16</v>
      </c>
      <c r="F139" s="368" t="s">
        <v>16</v>
      </c>
      <c r="G139" s="368" t="s">
        <v>16</v>
      </c>
      <c r="H139" s="368" t="s">
        <v>16</v>
      </c>
      <c r="I139" s="368" t="s">
        <v>16</v>
      </c>
      <c r="J139" s="368" t="s">
        <v>16</v>
      </c>
      <c r="K139" s="369">
        <v>0</v>
      </c>
      <c r="L139" s="369" t="s">
        <v>16</v>
      </c>
      <c r="M139" s="369" t="s">
        <v>16</v>
      </c>
      <c r="N139" s="370" t="s">
        <v>308</v>
      </c>
      <c r="O139" s="371">
        <v>0</v>
      </c>
      <c r="P139" s="372" t="e">
        <v>#VALUE!</v>
      </c>
      <c r="Q139" s="368" t="s">
        <v>16</v>
      </c>
      <c r="R139" s="368" t="s">
        <v>16</v>
      </c>
      <c r="S139" s="368" t="s">
        <v>16</v>
      </c>
    </row>
    <row r="140" spans="2:19" ht="15.5" hidden="1" x14ac:dyDescent="0.35">
      <c r="B140" s="366" t="s">
        <v>226</v>
      </c>
      <c r="C140" s="367" t="s">
        <v>269</v>
      </c>
      <c r="D140" s="367">
        <v>132</v>
      </c>
      <c r="E140" s="368" t="s">
        <v>16</v>
      </c>
      <c r="F140" s="368" t="s">
        <v>16</v>
      </c>
      <c r="G140" s="368" t="s">
        <v>16</v>
      </c>
      <c r="H140" s="368" t="s">
        <v>16</v>
      </c>
      <c r="I140" s="368" t="s">
        <v>16</v>
      </c>
      <c r="J140" s="368" t="s">
        <v>16</v>
      </c>
      <c r="K140" s="369">
        <v>0</v>
      </c>
      <c r="L140" s="369" t="s">
        <v>16</v>
      </c>
      <c r="M140" s="369" t="s">
        <v>16</v>
      </c>
      <c r="N140" s="370" t="s">
        <v>308</v>
      </c>
      <c r="O140" s="371">
        <v>0</v>
      </c>
      <c r="P140" s="372" t="e">
        <v>#VALUE!</v>
      </c>
      <c r="Q140" s="368" t="s">
        <v>16</v>
      </c>
      <c r="R140" s="368" t="s">
        <v>16</v>
      </c>
      <c r="S140" s="368" t="s">
        <v>16</v>
      </c>
    </row>
    <row r="141" spans="2:19" ht="15.5" hidden="1" x14ac:dyDescent="0.35">
      <c r="B141" s="366" t="s">
        <v>226</v>
      </c>
      <c r="C141" s="367" t="s">
        <v>269</v>
      </c>
      <c r="D141" s="367">
        <v>133</v>
      </c>
      <c r="E141" s="368" t="s">
        <v>16</v>
      </c>
      <c r="F141" s="368" t="s">
        <v>16</v>
      </c>
      <c r="G141" s="368" t="s">
        <v>16</v>
      </c>
      <c r="H141" s="368" t="s">
        <v>16</v>
      </c>
      <c r="I141" s="368" t="s">
        <v>16</v>
      </c>
      <c r="J141" s="368" t="s">
        <v>16</v>
      </c>
      <c r="K141" s="369">
        <v>0</v>
      </c>
      <c r="L141" s="369" t="s">
        <v>16</v>
      </c>
      <c r="M141" s="369" t="s">
        <v>16</v>
      </c>
      <c r="N141" s="370" t="s">
        <v>308</v>
      </c>
      <c r="O141" s="371">
        <v>0</v>
      </c>
      <c r="P141" s="372" t="e">
        <v>#VALUE!</v>
      </c>
      <c r="Q141" s="368" t="s">
        <v>16</v>
      </c>
      <c r="R141" s="368" t="s">
        <v>16</v>
      </c>
      <c r="S141" s="368" t="s">
        <v>16</v>
      </c>
    </row>
    <row r="142" spans="2:19" ht="15.5" hidden="1" x14ac:dyDescent="0.35">
      <c r="B142" s="366" t="s">
        <v>226</v>
      </c>
      <c r="C142" s="367" t="s">
        <v>269</v>
      </c>
      <c r="D142" s="367">
        <v>134</v>
      </c>
      <c r="E142" s="368" t="s">
        <v>16</v>
      </c>
      <c r="F142" s="368" t="s">
        <v>16</v>
      </c>
      <c r="G142" s="368" t="s">
        <v>16</v>
      </c>
      <c r="H142" s="368" t="s">
        <v>16</v>
      </c>
      <c r="I142" s="368" t="s">
        <v>16</v>
      </c>
      <c r="J142" s="368" t="s">
        <v>16</v>
      </c>
      <c r="K142" s="369">
        <v>0</v>
      </c>
      <c r="L142" s="369" t="s">
        <v>16</v>
      </c>
      <c r="M142" s="369" t="s">
        <v>16</v>
      </c>
      <c r="N142" s="370" t="s">
        <v>308</v>
      </c>
      <c r="O142" s="371">
        <v>0</v>
      </c>
      <c r="P142" s="372" t="e">
        <v>#VALUE!</v>
      </c>
      <c r="Q142" s="368" t="s">
        <v>16</v>
      </c>
      <c r="R142" s="368" t="s">
        <v>16</v>
      </c>
      <c r="S142" s="368" t="s">
        <v>16</v>
      </c>
    </row>
    <row r="143" spans="2:19" ht="15.5" hidden="1" x14ac:dyDescent="0.35">
      <c r="B143" s="366" t="s">
        <v>226</v>
      </c>
      <c r="C143" s="367" t="s">
        <v>269</v>
      </c>
      <c r="D143" s="367">
        <v>135</v>
      </c>
      <c r="E143" s="368" t="s">
        <v>16</v>
      </c>
      <c r="F143" s="368" t="s">
        <v>16</v>
      </c>
      <c r="G143" s="368" t="s">
        <v>16</v>
      </c>
      <c r="H143" s="368" t="s">
        <v>16</v>
      </c>
      <c r="I143" s="368" t="s">
        <v>16</v>
      </c>
      <c r="J143" s="368" t="s">
        <v>16</v>
      </c>
      <c r="K143" s="369">
        <v>0</v>
      </c>
      <c r="L143" s="369" t="s">
        <v>16</v>
      </c>
      <c r="M143" s="369" t="s">
        <v>16</v>
      </c>
      <c r="N143" s="370" t="s">
        <v>308</v>
      </c>
      <c r="O143" s="371">
        <v>0</v>
      </c>
      <c r="P143" s="372" t="e">
        <v>#VALUE!</v>
      </c>
      <c r="Q143" s="368" t="s">
        <v>16</v>
      </c>
      <c r="R143" s="368" t="s">
        <v>16</v>
      </c>
      <c r="S143" s="368" t="s">
        <v>16</v>
      </c>
    </row>
    <row r="144" spans="2:19" ht="15.5" hidden="1" x14ac:dyDescent="0.35">
      <c r="B144" s="366" t="s">
        <v>226</v>
      </c>
      <c r="C144" s="367" t="s">
        <v>269</v>
      </c>
      <c r="D144" s="367">
        <v>136</v>
      </c>
      <c r="E144" s="368" t="s">
        <v>16</v>
      </c>
      <c r="F144" s="368" t="s">
        <v>16</v>
      </c>
      <c r="G144" s="368" t="s">
        <v>16</v>
      </c>
      <c r="H144" s="368" t="s">
        <v>16</v>
      </c>
      <c r="I144" s="368" t="s">
        <v>16</v>
      </c>
      <c r="J144" s="368" t="s">
        <v>16</v>
      </c>
      <c r="K144" s="369">
        <v>0</v>
      </c>
      <c r="L144" s="369" t="s">
        <v>16</v>
      </c>
      <c r="M144" s="369" t="s">
        <v>16</v>
      </c>
      <c r="N144" s="370" t="s">
        <v>308</v>
      </c>
      <c r="O144" s="371">
        <v>0</v>
      </c>
      <c r="P144" s="372" t="e">
        <v>#VALUE!</v>
      </c>
      <c r="Q144" s="368" t="s">
        <v>16</v>
      </c>
      <c r="R144" s="368" t="s">
        <v>16</v>
      </c>
      <c r="S144" s="368" t="s">
        <v>16</v>
      </c>
    </row>
    <row r="145" spans="2:19" ht="15.5" hidden="1" x14ac:dyDescent="0.35">
      <c r="B145" s="366" t="s">
        <v>226</v>
      </c>
      <c r="C145" s="367" t="s">
        <v>269</v>
      </c>
      <c r="D145" s="367">
        <v>137</v>
      </c>
      <c r="E145" s="368" t="s">
        <v>16</v>
      </c>
      <c r="F145" s="368" t="s">
        <v>16</v>
      </c>
      <c r="G145" s="368" t="s">
        <v>16</v>
      </c>
      <c r="H145" s="368" t="s">
        <v>16</v>
      </c>
      <c r="I145" s="368" t="s">
        <v>16</v>
      </c>
      <c r="J145" s="368" t="s">
        <v>16</v>
      </c>
      <c r="K145" s="369">
        <v>0</v>
      </c>
      <c r="L145" s="369" t="s">
        <v>16</v>
      </c>
      <c r="M145" s="369" t="s">
        <v>16</v>
      </c>
      <c r="N145" s="370" t="s">
        <v>308</v>
      </c>
      <c r="O145" s="371">
        <v>0</v>
      </c>
      <c r="P145" s="372" t="e">
        <v>#VALUE!</v>
      </c>
      <c r="Q145" s="368" t="s">
        <v>16</v>
      </c>
      <c r="R145" s="368" t="s">
        <v>16</v>
      </c>
      <c r="S145" s="368" t="s">
        <v>16</v>
      </c>
    </row>
    <row r="146" spans="2:19" ht="15.5" hidden="1" x14ac:dyDescent="0.35">
      <c r="B146" s="366" t="s">
        <v>226</v>
      </c>
      <c r="C146" s="367" t="s">
        <v>269</v>
      </c>
      <c r="D146" s="367">
        <v>138</v>
      </c>
      <c r="E146" s="368" t="s">
        <v>16</v>
      </c>
      <c r="F146" s="368" t="s">
        <v>16</v>
      </c>
      <c r="G146" s="368" t="s">
        <v>16</v>
      </c>
      <c r="H146" s="368" t="s">
        <v>16</v>
      </c>
      <c r="I146" s="368" t="s">
        <v>16</v>
      </c>
      <c r="J146" s="368" t="s">
        <v>16</v>
      </c>
      <c r="K146" s="369">
        <v>0</v>
      </c>
      <c r="L146" s="369" t="s">
        <v>16</v>
      </c>
      <c r="M146" s="369" t="s">
        <v>16</v>
      </c>
      <c r="N146" s="370" t="s">
        <v>308</v>
      </c>
      <c r="O146" s="371">
        <v>0</v>
      </c>
      <c r="P146" s="372" t="e">
        <v>#VALUE!</v>
      </c>
      <c r="Q146" s="368" t="s">
        <v>16</v>
      </c>
      <c r="R146" s="368" t="s">
        <v>16</v>
      </c>
      <c r="S146" s="368" t="s">
        <v>16</v>
      </c>
    </row>
    <row r="147" spans="2:19" ht="15.5" hidden="1" x14ac:dyDescent="0.35">
      <c r="B147" s="366" t="s">
        <v>226</v>
      </c>
      <c r="C147" s="367" t="s">
        <v>269</v>
      </c>
      <c r="D147" s="367">
        <v>139</v>
      </c>
      <c r="E147" s="368" t="s">
        <v>16</v>
      </c>
      <c r="F147" s="368" t="s">
        <v>16</v>
      </c>
      <c r="G147" s="368" t="s">
        <v>16</v>
      </c>
      <c r="H147" s="368" t="s">
        <v>16</v>
      </c>
      <c r="I147" s="368" t="s">
        <v>16</v>
      </c>
      <c r="J147" s="368" t="s">
        <v>16</v>
      </c>
      <c r="K147" s="369">
        <v>0</v>
      </c>
      <c r="L147" s="369" t="s">
        <v>16</v>
      </c>
      <c r="M147" s="369" t="s">
        <v>16</v>
      </c>
      <c r="N147" s="370" t="s">
        <v>308</v>
      </c>
      <c r="O147" s="371">
        <v>0</v>
      </c>
      <c r="P147" s="372" t="e">
        <v>#VALUE!</v>
      </c>
      <c r="Q147" s="368" t="s">
        <v>16</v>
      </c>
      <c r="R147" s="368" t="s">
        <v>16</v>
      </c>
      <c r="S147" s="368" t="s">
        <v>16</v>
      </c>
    </row>
    <row r="148" spans="2:19" ht="15.5" hidden="1" x14ac:dyDescent="0.35">
      <c r="B148" s="366" t="s">
        <v>226</v>
      </c>
      <c r="C148" s="367" t="s">
        <v>269</v>
      </c>
      <c r="D148" s="367">
        <v>140</v>
      </c>
      <c r="E148" s="368" t="s">
        <v>16</v>
      </c>
      <c r="F148" s="368" t="s">
        <v>16</v>
      </c>
      <c r="G148" s="368" t="s">
        <v>16</v>
      </c>
      <c r="H148" s="368" t="s">
        <v>16</v>
      </c>
      <c r="I148" s="368" t="s">
        <v>16</v>
      </c>
      <c r="J148" s="368" t="s">
        <v>16</v>
      </c>
      <c r="K148" s="369">
        <v>0</v>
      </c>
      <c r="L148" s="369" t="s">
        <v>16</v>
      </c>
      <c r="M148" s="369" t="s">
        <v>16</v>
      </c>
      <c r="N148" s="370" t="s">
        <v>308</v>
      </c>
      <c r="O148" s="371">
        <v>0</v>
      </c>
      <c r="P148" s="372" t="e">
        <v>#VALUE!</v>
      </c>
      <c r="Q148" s="368" t="s">
        <v>16</v>
      </c>
      <c r="R148" s="368" t="s">
        <v>16</v>
      </c>
      <c r="S148" s="368" t="s">
        <v>16</v>
      </c>
    </row>
    <row r="149" spans="2:19" ht="15.5" hidden="1" x14ac:dyDescent="0.35">
      <c r="B149" s="366" t="s">
        <v>226</v>
      </c>
      <c r="C149" s="367" t="s">
        <v>269</v>
      </c>
      <c r="D149" s="367">
        <v>141</v>
      </c>
      <c r="E149" s="368" t="s">
        <v>16</v>
      </c>
      <c r="F149" s="368" t="s">
        <v>16</v>
      </c>
      <c r="G149" s="368" t="s">
        <v>16</v>
      </c>
      <c r="H149" s="368" t="s">
        <v>16</v>
      </c>
      <c r="I149" s="368" t="s">
        <v>16</v>
      </c>
      <c r="J149" s="368" t="s">
        <v>16</v>
      </c>
      <c r="K149" s="369">
        <v>0</v>
      </c>
      <c r="L149" s="369" t="s">
        <v>16</v>
      </c>
      <c r="M149" s="369" t="s">
        <v>16</v>
      </c>
      <c r="N149" s="370" t="s">
        <v>308</v>
      </c>
      <c r="O149" s="371">
        <v>0</v>
      </c>
      <c r="P149" s="372" t="e">
        <v>#VALUE!</v>
      </c>
      <c r="Q149" s="368" t="s">
        <v>16</v>
      </c>
      <c r="R149" s="368" t="s">
        <v>16</v>
      </c>
      <c r="S149" s="368" t="s">
        <v>16</v>
      </c>
    </row>
    <row r="150" spans="2:19" ht="15.5" hidden="1" x14ac:dyDescent="0.35">
      <c r="B150" s="366" t="s">
        <v>226</v>
      </c>
      <c r="C150" s="367" t="s">
        <v>269</v>
      </c>
      <c r="D150" s="367">
        <v>142</v>
      </c>
      <c r="E150" s="368" t="s">
        <v>16</v>
      </c>
      <c r="F150" s="368" t="s">
        <v>16</v>
      </c>
      <c r="G150" s="368" t="s">
        <v>16</v>
      </c>
      <c r="H150" s="368" t="s">
        <v>16</v>
      </c>
      <c r="I150" s="368" t="s">
        <v>16</v>
      </c>
      <c r="J150" s="368" t="s">
        <v>16</v>
      </c>
      <c r="K150" s="369">
        <v>0</v>
      </c>
      <c r="L150" s="369" t="s">
        <v>16</v>
      </c>
      <c r="M150" s="369" t="s">
        <v>16</v>
      </c>
      <c r="N150" s="370" t="s">
        <v>308</v>
      </c>
      <c r="O150" s="371">
        <v>0</v>
      </c>
      <c r="P150" s="372" t="e">
        <v>#VALUE!</v>
      </c>
      <c r="Q150" s="368" t="s">
        <v>16</v>
      </c>
      <c r="R150" s="368" t="s">
        <v>16</v>
      </c>
      <c r="S150" s="368" t="s">
        <v>16</v>
      </c>
    </row>
    <row r="151" spans="2:19" ht="15.5" hidden="1" x14ac:dyDescent="0.35">
      <c r="B151" s="366" t="s">
        <v>226</v>
      </c>
      <c r="C151" s="367" t="s">
        <v>269</v>
      </c>
      <c r="D151" s="367">
        <v>143</v>
      </c>
      <c r="E151" s="368" t="s">
        <v>16</v>
      </c>
      <c r="F151" s="368" t="s">
        <v>16</v>
      </c>
      <c r="G151" s="368" t="s">
        <v>16</v>
      </c>
      <c r="H151" s="368" t="s">
        <v>16</v>
      </c>
      <c r="I151" s="368" t="s">
        <v>16</v>
      </c>
      <c r="J151" s="368" t="s">
        <v>16</v>
      </c>
      <c r="K151" s="369">
        <v>0</v>
      </c>
      <c r="L151" s="369" t="s">
        <v>16</v>
      </c>
      <c r="M151" s="369" t="s">
        <v>16</v>
      </c>
      <c r="N151" s="370" t="s">
        <v>308</v>
      </c>
      <c r="O151" s="371">
        <v>0</v>
      </c>
      <c r="P151" s="372" t="e">
        <v>#VALUE!</v>
      </c>
      <c r="Q151" s="368" t="s">
        <v>16</v>
      </c>
      <c r="R151" s="368" t="s">
        <v>16</v>
      </c>
      <c r="S151" s="368" t="s">
        <v>16</v>
      </c>
    </row>
    <row r="152" spans="2:19" ht="15.5" hidden="1" x14ac:dyDescent="0.35">
      <c r="B152" s="366" t="s">
        <v>226</v>
      </c>
      <c r="C152" s="367" t="s">
        <v>269</v>
      </c>
      <c r="D152" s="367">
        <v>144</v>
      </c>
      <c r="E152" s="368" t="s">
        <v>16</v>
      </c>
      <c r="F152" s="368" t="s">
        <v>16</v>
      </c>
      <c r="G152" s="368" t="s">
        <v>16</v>
      </c>
      <c r="H152" s="368" t="s">
        <v>16</v>
      </c>
      <c r="I152" s="368" t="s">
        <v>16</v>
      </c>
      <c r="J152" s="368" t="s">
        <v>16</v>
      </c>
      <c r="K152" s="369">
        <v>0</v>
      </c>
      <c r="L152" s="369" t="s">
        <v>16</v>
      </c>
      <c r="M152" s="369" t="s">
        <v>16</v>
      </c>
      <c r="N152" s="370" t="s">
        <v>308</v>
      </c>
      <c r="O152" s="371">
        <v>0</v>
      </c>
      <c r="P152" s="372" t="e">
        <v>#VALUE!</v>
      </c>
      <c r="Q152" s="368" t="s">
        <v>16</v>
      </c>
      <c r="R152" s="368" t="s">
        <v>16</v>
      </c>
      <c r="S152" s="368" t="s">
        <v>16</v>
      </c>
    </row>
    <row r="153" spans="2:19" ht="15.5" hidden="1" x14ac:dyDescent="0.35">
      <c r="B153" s="366" t="s">
        <v>226</v>
      </c>
      <c r="C153" s="367" t="s">
        <v>269</v>
      </c>
      <c r="D153" s="367">
        <v>145</v>
      </c>
      <c r="E153" s="368" t="s">
        <v>16</v>
      </c>
      <c r="F153" s="368" t="s">
        <v>16</v>
      </c>
      <c r="G153" s="368" t="s">
        <v>16</v>
      </c>
      <c r="H153" s="368" t="s">
        <v>16</v>
      </c>
      <c r="I153" s="368" t="s">
        <v>16</v>
      </c>
      <c r="J153" s="368" t="s">
        <v>16</v>
      </c>
      <c r="K153" s="369">
        <v>0</v>
      </c>
      <c r="L153" s="369" t="s">
        <v>16</v>
      </c>
      <c r="M153" s="369" t="s">
        <v>16</v>
      </c>
      <c r="N153" s="370" t="s">
        <v>308</v>
      </c>
      <c r="O153" s="371">
        <v>0</v>
      </c>
      <c r="P153" s="372" t="e">
        <v>#VALUE!</v>
      </c>
      <c r="Q153" s="368" t="s">
        <v>16</v>
      </c>
      <c r="R153" s="368" t="s">
        <v>16</v>
      </c>
      <c r="S153" s="368" t="s">
        <v>16</v>
      </c>
    </row>
    <row r="154" spans="2:19" ht="15.5" hidden="1" x14ac:dyDescent="0.35">
      <c r="B154" s="366" t="s">
        <v>226</v>
      </c>
      <c r="C154" s="367" t="s">
        <v>269</v>
      </c>
      <c r="D154" s="367">
        <v>146</v>
      </c>
      <c r="E154" s="368" t="s">
        <v>16</v>
      </c>
      <c r="F154" s="368" t="s">
        <v>16</v>
      </c>
      <c r="G154" s="368" t="s">
        <v>16</v>
      </c>
      <c r="H154" s="368" t="s">
        <v>16</v>
      </c>
      <c r="I154" s="368" t="s">
        <v>16</v>
      </c>
      <c r="J154" s="368" t="s">
        <v>16</v>
      </c>
      <c r="K154" s="369">
        <v>0</v>
      </c>
      <c r="L154" s="369" t="s">
        <v>16</v>
      </c>
      <c r="M154" s="369" t="s">
        <v>16</v>
      </c>
      <c r="N154" s="370" t="s">
        <v>308</v>
      </c>
      <c r="O154" s="371">
        <v>0</v>
      </c>
      <c r="P154" s="372" t="e">
        <v>#VALUE!</v>
      </c>
      <c r="Q154" s="368" t="s">
        <v>16</v>
      </c>
      <c r="R154" s="368" t="s">
        <v>16</v>
      </c>
      <c r="S154" s="368" t="s">
        <v>16</v>
      </c>
    </row>
    <row r="155" spans="2:19" ht="15.5" hidden="1" x14ac:dyDescent="0.35">
      <c r="B155" s="366" t="s">
        <v>226</v>
      </c>
      <c r="C155" s="367" t="s">
        <v>269</v>
      </c>
      <c r="D155" s="367">
        <v>147</v>
      </c>
      <c r="E155" s="368" t="s">
        <v>16</v>
      </c>
      <c r="F155" s="368" t="s">
        <v>16</v>
      </c>
      <c r="G155" s="368" t="s">
        <v>16</v>
      </c>
      <c r="H155" s="368" t="s">
        <v>16</v>
      </c>
      <c r="I155" s="368" t="s">
        <v>16</v>
      </c>
      <c r="J155" s="368" t="s">
        <v>16</v>
      </c>
      <c r="K155" s="369">
        <v>0</v>
      </c>
      <c r="L155" s="369" t="s">
        <v>16</v>
      </c>
      <c r="M155" s="369" t="s">
        <v>16</v>
      </c>
      <c r="N155" s="370" t="s">
        <v>308</v>
      </c>
      <c r="O155" s="371">
        <v>0</v>
      </c>
      <c r="P155" s="372" t="e">
        <v>#VALUE!</v>
      </c>
      <c r="Q155" s="368" t="s">
        <v>16</v>
      </c>
      <c r="R155" s="368" t="s">
        <v>16</v>
      </c>
      <c r="S155" s="368" t="s">
        <v>16</v>
      </c>
    </row>
    <row r="156" spans="2:19" ht="15.5" hidden="1" x14ac:dyDescent="0.35">
      <c r="B156" s="366" t="s">
        <v>226</v>
      </c>
      <c r="C156" s="367" t="s">
        <v>269</v>
      </c>
      <c r="D156" s="367">
        <v>148</v>
      </c>
      <c r="E156" s="368" t="s">
        <v>16</v>
      </c>
      <c r="F156" s="368" t="s">
        <v>16</v>
      </c>
      <c r="G156" s="368" t="s">
        <v>16</v>
      </c>
      <c r="H156" s="368" t="s">
        <v>16</v>
      </c>
      <c r="I156" s="368" t="s">
        <v>16</v>
      </c>
      <c r="J156" s="368" t="s">
        <v>16</v>
      </c>
      <c r="K156" s="369">
        <v>0</v>
      </c>
      <c r="L156" s="369" t="s">
        <v>16</v>
      </c>
      <c r="M156" s="369" t="s">
        <v>16</v>
      </c>
      <c r="N156" s="370" t="s">
        <v>308</v>
      </c>
      <c r="O156" s="371">
        <v>0</v>
      </c>
      <c r="P156" s="372" t="e">
        <v>#VALUE!</v>
      </c>
      <c r="Q156" s="368" t="s">
        <v>16</v>
      </c>
      <c r="R156" s="368" t="s">
        <v>16</v>
      </c>
      <c r="S156" s="368" t="s">
        <v>16</v>
      </c>
    </row>
    <row r="157" spans="2:19" ht="15.5" hidden="1" x14ac:dyDescent="0.35">
      <c r="B157" s="366" t="s">
        <v>226</v>
      </c>
      <c r="C157" s="367" t="s">
        <v>269</v>
      </c>
      <c r="D157" s="367">
        <v>149</v>
      </c>
      <c r="E157" s="368" t="s">
        <v>16</v>
      </c>
      <c r="F157" s="368" t="s">
        <v>16</v>
      </c>
      <c r="G157" s="368" t="s">
        <v>16</v>
      </c>
      <c r="H157" s="368" t="s">
        <v>16</v>
      </c>
      <c r="I157" s="368" t="s">
        <v>16</v>
      </c>
      <c r="J157" s="368" t="s">
        <v>16</v>
      </c>
      <c r="K157" s="369">
        <v>0</v>
      </c>
      <c r="L157" s="369" t="s">
        <v>16</v>
      </c>
      <c r="M157" s="369" t="s">
        <v>16</v>
      </c>
      <c r="N157" s="370" t="s">
        <v>308</v>
      </c>
      <c r="O157" s="371">
        <v>0</v>
      </c>
      <c r="P157" s="372" t="e">
        <v>#VALUE!</v>
      </c>
      <c r="Q157" s="368" t="s">
        <v>16</v>
      </c>
      <c r="R157" s="368" t="s">
        <v>16</v>
      </c>
      <c r="S157" s="368" t="s">
        <v>16</v>
      </c>
    </row>
    <row r="158" spans="2:19" ht="15.5" hidden="1" x14ac:dyDescent="0.35">
      <c r="B158" s="366" t="s">
        <v>226</v>
      </c>
      <c r="C158" s="367" t="s">
        <v>269</v>
      </c>
      <c r="D158" s="367">
        <v>150</v>
      </c>
      <c r="E158" s="368" t="s">
        <v>16</v>
      </c>
      <c r="F158" s="368" t="s">
        <v>16</v>
      </c>
      <c r="G158" s="368" t="s">
        <v>16</v>
      </c>
      <c r="H158" s="368" t="s">
        <v>16</v>
      </c>
      <c r="I158" s="368" t="s">
        <v>16</v>
      </c>
      <c r="J158" s="368" t="s">
        <v>16</v>
      </c>
      <c r="K158" s="369">
        <v>0</v>
      </c>
      <c r="L158" s="369" t="s">
        <v>16</v>
      </c>
      <c r="M158" s="369" t="s">
        <v>16</v>
      </c>
      <c r="N158" s="370" t="s">
        <v>308</v>
      </c>
      <c r="O158" s="371">
        <v>0</v>
      </c>
      <c r="P158" s="372" t="e">
        <v>#VALUE!</v>
      </c>
      <c r="Q158" s="368" t="s">
        <v>16</v>
      </c>
      <c r="R158" s="368" t="s">
        <v>16</v>
      </c>
      <c r="S158" s="368" t="s">
        <v>16</v>
      </c>
    </row>
    <row r="159" spans="2:19" ht="15.5" hidden="1" x14ac:dyDescent="0.35">
      <c r="B159" s="366" t="s">
        <v>226</v>
      </c>
      <c r="C159" s="367" t="s">
        <v>269</v>
      </c>
      <c r="D159" s="367">
        <v>151</v>
      </c>
      <c r="E159" s="368" t="s">
        <v>16</v>
      </c>
      <c r="F159" s="368" t="s">
        <v>16</v>
      </c>
      <c r="G159" s="368" t="s">
        <v>16</v>
      </c>
      <c r="H159" s="368" t="s">
        <v>16</v>
      </c>
      <c r="I159" s="368" t="s">
        <v>16</v>
      </c>
      <c r="J159" s="368" t="s">
        <v>16</v>
      </c>
      <c r="K159" s="369">
        <v>0</v>
      </c>
      <c r="L159" s="369" t="s">
        <v>16</v>
      </c>
      <c r="M159" s="369" t="s">
        <v>16</v>
      </c>
      <c r="N159" s="370" t="s">
        <v>308</v>
      </c>
      <c r="O159" s="371">
        <v>0</v>
      </c>
      <c r="P159" s="372" t="e">
        <v>#VALUE!</v>
      </c>
      <c r="Q159" s="368" t="s">
        <v>16</v>
      </c>
      <c r="R159" s="368" t="s">
        <v>16</v>
      </c>
      <c r="S159" s="368" t="s">
        <v>16</v>
      </c>
    </row>
    <row r="160" spans="2:19" ht="15.5" hidden="1" x14ac:dyDescent="0.35">
      <c r="B160" s="366" t="s">
        <v>226</v>
      </c>
      <c r="C160" s="367" t="s">
        <v>269</v>
      </c>
      <c r="D160" s="367">
        <v>152</v>
      </c>
      <c r="E160" s="368" t="s">
        <v>16</v>
      </c>
      <c r="F160" s="368" t="s">
        <v>16</v>
      </c>
      <c r="G160" s="368" t="s">
        <v>16</v>
      </c>
      <c r="H160" s="368" t="s">
        <v>16</v>
      </c>
      <c r="I160" s="368" t="s">
        <v>16</v>
      </c>
      <c r="J160" s="368" t="s">
        <v>16</v>
      </c>
      <c r="K160" s="369">
        <v>0</v>
      </c>
      <c r="L160" s="369" t="s">
        <v>16</v>
      </c>
      <c r="M160" s="369" t="s">
        <v>16</v>
      </c>
      <c r="N160" s="370" t="s">
        <v>308</v>
      </c>
      <c r="O160" s="371">
        <v>0</v>
      </c>
      <c r="P160" s="372" t="e">
        <v>#VALUE!</v>
      </c>
      <c r="Q160" s="368" t="s">
        <v>16</v>
      </c>
      <c r="R160" s="368" t="s">
        <v>16</v>
      </c>
      <c r="S160" s="368" t="s">
        <v>16</v>
      </c>
    </row>
    <row r="161" spans="2:19" ht="15.5" hidden="1" x14ac:dyDescent="0.35">
      <c r="B161" s="366" t="s">
        <v>226</v>
      </c>
      <c r="C161" s="367" t="s">
        <v>269</v>
      </c>
      <c r="D161" s="367">
        <v>153</v>
      </c>
      <c r="E161" s="368" t="s">
        <v>16</v>
      </c>
      <c r="F161" s="368" t="s">
        <v>16</v>
      </c>
      <c r="G161" s="368" t="s">
        <v>16</v>
      </c>
      <c r="H161" s="368" t="s">
        <v>16</v>
      </c>
      <c r="I161" s="368" t="s">
        <v>16</v>
      </c>
      <c r="J161" s="368" t="s">
        <v>16</v>
      </c>
      <c r="K161" s="369">
        <v>0</v>
      </c>
      <c r="L161" s="369" t="s">
        <v>16</v>
      </c>
      <c r="M161" s="369" t="s">
        <v>16</v>
      </c>
      <c r="N161" s="370" t="s">
        <v>308</v>
      </c>
      <c r="O161" s="371">
        <v>0</v>
      </c>
      <c r="P161" s="372" t="e">
        <v>#VALUE!</v>
      </c>
      <c r="Q161" s="368" t="s">
        <v>16</v>
      </c>
      <c r="R161" s="368" t="s">
        <v>16</v>
      </c>
      <c r="S161" s="368" t="s">
        <v>16</v>
      </c>
    </row>
    <row r="162" spans="2:19" ht="15.5" hidden="1" x14ac:dyDescent="0.35">
      <c r="B162" s="366" t="s">
        <v>226</v>
      </c>
      <c r="C162" s="367" t="s">
        <v>269</v>
      </c>
      <c r="D162" s="367">
        <v>154</v>
      </c>
      <c r="E162" s="368" t="s">
        <v>16</v>
      </c>
      <c r="F162" s="368" t="s">
        <v>16</v>
      </c>
      <c r="G162" s="368" t="s">
        <v>16</v>
      </c>
      <c r="H162" s="368" t="s">
        <v>16</v>
      </c>
      <c r="I162" s="368" t="s">
        <v>16</v>
      </c>
      <c r="J162" s="368" t="s">
        <v>16</v>
      </c>
      <c r="K162" s="369">
        <v>0</v>
      </c>
      <c r="L162" s="369" t="s">
        <v>16</v>
      </c>
      <c r="M162" s="369" t="s">
        <v>16</v>
      </c>
      <c r="N162" s="370" t="s">
        <v>308</v>
      </c>
      <c r="O162" s="371">
        <v>0</v>
      </c>
      <c r="P162" s="372" t="e">
        <v>#VALUE!</v>
      </c>
      <c r="Q162" s="368" t="s">
        <v>16</v>
      </c>
      <c r="R162" s="368" t="s">
        <v>16</v>
      </c>
      <c r="S162" s="368" t="s">
        <v>16</v>
      </c>
    </row>
    <row r="163" spans="2:19" ht="15.5" hidden="1" x14ac:dyDescent="0.35">
      <c r="B163" s="366" t="s">
        <v>226</v>
      </c>
      <c r="C163" s="367" t="s">
        <v>269</v>
      </c>
      <c r="D163" s="367">
        <v>155</v>
      </c>
      <c r="E163" s="368" t="s">
        <v>16</v>
      </c>
      <c r="F163" s="368" t="s">
        <v>16</v>
      </c>
      <c r="G163" s="368" t="s">
        <v>16</v>
      </c>
      <c r="H163" s="368" t="s">
        <v>16</v>
      </c>
      <c r="I163" s="368" t="s">
        <v>16</v>
      </c>
      <c r="J163" s="368" t="s">
        <v>16</v>
      </c>
      <c r="K163" s="369">
        <v>0</v>
      </c>
      <c r="L163" s="369" t="s">
        <v>16</v>
      </c>
      <c r="M163" s="369" t="s">
        <v>16</v>
      </c>
      <c r="N163" s="370" t="s">
        <v>308</v>
      </c>
      <c r="O163" s="371">
        <v>0</v>
      </c>
      <c r="P163" s="372" t="e">
        <v>#VALUE!</v>
      </c>
      <c r="Q163" s="368" t="s">
        <v>16</v>
      </c>
      <c r="R163" s="368" t="s">
        <v>16</v>
      </c>
      <c r="S163" s="368" t="s">
        <v>16</v>
      </c>
    </row>
    <row r="164" spans="2:19" ht="15.5" hidden="1" x14ac:dyDescent="0.35">
      <c r="B164" s="366" t="s">
        <v>226</v>
      </c>
      <c r="C164" s="367" t="s">
        <v>269</v>
      </c>
      <c r="D164" s="367">
        <v>156</v>
      </c>
      <c r="E164" s="368" t="s">
        <v>16</v>
      </c>
      <c r="F164" s="368" t="s">
        <v>16</v>
      </c>
      <c r="G164" s="368" t="s">
        <v>16</v>
      </c>
      <c r="H164" s="368" t="s">
        <v>16</v>
      </c>
      <c r="I164" s="368" t="s">
        <v>16</v>
      </c>
      <c r="J164" s="368" t="s">
        <v>16</v>
      </c>
      <c r="K164" s="369">
        <v>0</v>
      </c>
      <c r="L164" s="369" t="s">
        <v>16</v>
      </c>
      <c r="M164" s="369" t="s">
        <v>16</v>
      </c>
      <c r="N164" s="370" t="s">
        <v>308</v>
      </c>
      <c r="O164" s="371">
        <v>0</v>
      </c>
      <c r="P164" s="372" t="e">
        <v>#VALUE!</v>
      </c>
      <c r="Q164" s="368" t="s">
        <v>16</v>
      </c>
      <c r="R164" s="368" t="s">
        <v>16</v>
      </c>
      <c r="S164" s="368" t="s">
        <v>16</v>
      </c>
    </row>
    <row r="165" spans="2:19" ht="15.5" hidden="1" x14ac:dyDescent="0.35">
      <c r="B165" s="366" t="s">
        <v>226</v>
      </c>
      <c r="C165" s="367" t="s">
        <v>269</v>
      </c>
      <c r="D165" s="367">
        <v>157</v>
      </c>
      <c r="E165" s="368" t="s">
        <v>16</v>
      </c>
      <c r="F165" s="368" t="s">
        <v>16</v>
      </c>
      <c r="G165" s="368" t="s">
        <v>16</v>
      </c>
      <c r="H165" s="368" t="s">
        <v>16</v>
      </c>
      <c r="I165" s="368" t="s">
        <v>16</v>
      </c>
      <c r="J165" s="368" t="s">
        <v>16</v>
      </c>
      <c r="K165" s="369">
        <v>0</v>
      </c>
      <c r="L165" s="369" t="s">
        <v>16</v>
      </c>
      <c r="M165" s="369" t="s">
        <v>16</v>
      </c>
      <c r="N165" s="370" t="s">
        <v>308</v>
      </c>
      <c r="O165" s="371">
        <v>0</v>
      </c>
      <c r="P165" s="372" t="e">
        <v>#VALUE!</v>
      </c>
      <c r="Q165" s="368" t="s">
        <v>16</v>
      </c>
      <c r="R165" s="368" t="s">
        <v>16</v>
      </c>
      <c r="S165" s="368" t="s">
        <v>16</v>
      </c>
    </row>
    <row r="166" spans="2:19" ht="15.5" hidden="1" x14ac:dyDescent="0.35">
      <c r="B166" s="366" t="s">
        <v>226</v>
      </c>
      <c r="C166" s="367" t="s">
        <v>269</v>
      </c>
      <c r="D166" s="367">
        <v>158</v>
      </c>
      <c r="E166" s="368" t="s">
        <v>16</v>
      </c>
      <c r="F166" s="368" t="s">
        <v>16</v>
      </c>
      <c r="G166" s="368" t="s">
        <v>16</v>
      </c>
      <c r="H166" s="368" t="s">
        <v>16</v>
      </c>
      <c r="I166" s="368" t="s">
        <v>16</v>
      </c>
      <c r="J166" s="368" t="s">
        <v>16</v>
      </c>
      <c r="K166" s="369">
        <v>0</v>
      </c>
      <c r="L166" s="369" t="s">
        <v>16</v>
      </c>
      <c r="M166" s="369" t="s">
        <v>16</v>
      </c>
      <c r="N166" s="370" t="s">
        <v>308</v>
      </c>
      <c r="O166" s="371">
        <v>0</v>
      </c>
      <c r="P166" s="372" t="e">
        <v>#VALUE!</v>
      </c>
      <c r="Q166" s="368" t="s">
        <v>16</v>
      </c>
      <c r="R166" s="368" t="s">
        <v>16</v>
      </c>
      <c r="S166" s="368" t="s">
        <v>16</v>
      </c>
    </row>
    <row r="167" spans="2:19" ht="15.5" hidden="1" x14ac:dyDescent="0.35">
      <c r="B167" s="366" t="s">
        <v>226</v>
      </c>
      <c r="C167" s="367" t="s">
        <v>269</v>
      </c>
      <c r="D167" s="367">
        <v>159</v>
      </c>
      <c r="E167" s="368" t="s">
        <v>16</v>
      </c>
      <c r="F167" s="368" t="s">
        <v>16</v>
      </c>
      <c r="G167" s="368" t="s">
        <v>16</v>
      </c>
      <c r="H167" s="368" t="s">
        <v>16</v>
      </c>
      <c r="I167" s="368" t="s">
        <v>16</v>
      </c>
      <c r="J167" s="368" t="s">
        <v>16</v>
      </c>
      <c r="K167" s="369">
        <v>0</v>
      </c>
      <c r="L167" s="369" t="s">
        <v>16</v>
      </c>
      <c r="M167" s="369" t="s">
        <v>16</v>
      </c>
      <c r="N167" s="370" t="s">
        <v>308</v>
      </c>
      <c r="O167" s="371">
        <v>0</v>
      </c>
      <c r="P167" s="372" t="e">
        <v>#VALUE!</v>
      </c>
      <c r="Q167" s="368" t="s">
        <v>16</v>
      </c>
      <c r="R167" s="368" t="s">
        <v>16</v>
      </c>
      <c r="S167" s="368" t="s">
        <v>16</v>
      </c>
    </row>
    <row r="168" spans="2:19" ht="15.5" hidden="1" x14ac:dyDescent="0.35">
      <c r="B168" s="366" t="s">
        <v>226</v>
      </c>
      <c r="C168" s="367" t="s">
        <v>269</v>
      </c>
      <c r="D168" s="367">
        <v>160</v>
      </c>
      <c r="E168" s="368" t="s">
        <v>16</v>
      </c>
      <c r="F168" s="368" t="s">
        <v>16</v>
      </c>
      <c r="G168" s="368" t="s">
        <v>16</v>
      </c>
      <c r="H168" s="368" t="s">
        <v>16</v>
      </c>
      <c r="I168" s="368" t="s">
        <v>16</v>
      </c>
      <c r="J168" s="368" t="s">
        <v>16</v>
      </c>
      <c r="K168" s="369">
        <v>0</v>
      </c>
      <c r="L168" s="369" t="s">
        <v>16</v>
      </c>
      <c r="M168" s="369" t="s">
        <v>16</v>
      </c>
      <c r="N168" s="370" t="s">
        <v>308</v>
      </c>
      <c r="O168" s="371">
        <v>0</v>
      </c>
      <c r="P168" s="372" t="e">
        <v>#VALUE!</v>
      </c>
      <c r="Q168" s="368" t="s">
        <v>16</v>
      </c>
      <c r="R168" s="368" t="s">
        <v>16</v>
      </c>
      <c r="S168" s="368" t="s">
        <v>16</v>
      </c>
    </row>
    <row r="169" spans="2:19" ht="15.5" hidden="1" x14ac:dyDescent="0.35">
      <c r="B169" s="366" t="s">
        <v>226</v>
      </c>
      <c r="C169" s="367" t="s">
        <v>269</v>
      </c>
      <c r="D169" s="367">
        <v>161</v>
      </c>
      <c r="E169" s="368" t="s">
        <v>16</v>
      </c>
      <c r="F169" s="368" t="s">
        <v>16</v>
      </c>
      <c r="G169" s="368" t="s">
        <v>16</v>
      </c>
      <c r="H169" s="368" t="s">
        <v>16</v>
      </c>
      <c r="I169" s="368" t="s">
        <v>16</v>
      </c>
      <c r="J169" s="368" t="s">
        <v>16</v>
      </c>
      <c r="K169" s="369">
        <v>0</v>
      </c>
      <c r="L169" s="369" t="s">
        <v>16</v>
      </c>
      <c r="M169" s="369" t="s">
        <v>16</v>
      </c>
      <c r="N169" s="370" t="s">
        <v>308</v>
      </c>
      <c r="O169" s="371">
        <v>0</v>
      </c>
      <c r="P169" s="372" t="e">
        <v>#VALUE!</v>
      </c>
      <c r="Q169" s="368" t="s">
        <v>16</v>
      </c>
      <c r="R169" s="368" t="s">
        <v>16</v>
      </c>
      <c r="S169" s="368"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3ADC5-EDA0-46D4-9AE8-AC54B45B07ED}">
  <dimension ref="A1:C26"/>
  <sheetViews>
    <sheetView topLeftCell="A14" workbookViewId="0">
      <selection activeCell="B10" sqref="B10"/>
    </sheetView>
  </sheetViews>
  <sheetFormatPr defaultColWidth="0" defaultRowHeight="14.5" zeroHeight="1" x14ac:dyDescent="0.35"/>
  <cols>
    <col min="1" max="1" width="9.1796875" style="288" customWidth="1"/>
    <col min="2" max="2" width="139.7265625" style="290" customWidth="1"/>
    <col min="3" max="3" width="9.1796875" style="288" customWidth="1"/>
    <col min="4" max="16384" width="9.1796875" style="288" hidden="1"/>
  </cols>
  <sheetData>
    <row r="1" spans="2:2" ht="23.5" x14ac:dyDescent="0.55000000000000004">
      <c r="B1" s="287" t="s">
        <v>124</v>
      </c>
    </row>
    <row r="2" spans="2:2" x14ac:dyDescent="0.35">
      <c r="B2" s="289"/>
    </row>
    <row r="3" spans="2:2" x14ac:dyDescent="0.35">
      <c r="B3" s="289" t="s">
        <v>125</v>
      </c>
    </row>
    <row r="4" spans="2:2" x14ac:dyDescent="0.35"/>
    <row r="5" spans="2:2" ht="101.5" x14ac:dyDescent="0.35">
      <c r="B5" s="290" t="s">
        <v>209</v>
      </c>
    </row>
    <row r="6" spans="2:2" x14ac:dyDescent="0.35"/>
    <row r="7" spans="2:2" x14ac:dyDescent="0.35">
      <c r="B7" s="289" t="s">
        <v>126</v>
      </c>
    </row>
    <row r="8" spans="2:2" x14ac:dyDescent="0.35"/>
    <row r="9" spans="2:2" x14ac:dyDescent="0.35">
      <c r="B9" s="289" t="s">
        <v>127</v>
      </c>
    </row>
    <row r="10" spans="2:2" ht="29" x14ac:dyDescent="0.35">
      <c r="B10" s="290" t="s">
        <v>128</v>
      </c>
    </row>
    <row r="11" spans="2:2" ht="29" x14ac:dyDescent="0.35">
      <c r="B11" s="290" t="s">
        <v>129</v>
      </c>
    </row>
    <row r="12" spans="2:2" x14ac:dyDescent="0.35"/>
    <row r="13" spans="2:2" x14ac:dyDescent="0.35">
      <c r="B13" s="289" t="s">
        <v>130</v>
      </c>
    </row>
    <row r="14" spans="2:2" ht="29" x14ac:dyDescent="0.35">
      <c r="B14" s="290" t="s">
        <v>131</v>
      </c>
    </row>
    <row r="15" spans="2:2" x14ac:dyDescent="0.35">
      <c r="B15" s="290" t="s">
        <v>132</v>
      </c>
    </row>
    <row r="16" spans="2:2" ht="29" x14ac:dyDescent="0.35">
      <c r="B16" s="290" t="s">
        <v>133</v>
      </c>
    </row>
    <row r="18" spans="2:2" x14ac:dyDescent="0.35">
      <c r="B18" s="289" t="s">
        <v>134</v>
      </c>
    </row>
    <row r="19" spans="2:2" ht="29" x14ac:dyDescent="0.35">
      <c r="B19" s="290" t="s">
        <v>135</v>
      </c>
    </row>
    <row r="20" spans="2:2" ht="29" x14ac:dyDescent="0.35">
      <c r="B20" s="290" t="s">
        <v>136</v>
      </c>
    </row>
    <row r="21" spans="2:2" x14ac:dyDescent="0.35"/>
    <row r="22" spans="2:2" x14ac:dyDescent="0.35">
      <c r="B22" s="289" t="s">
        <v>137</v>
      </c>
    </row>
    <row r="23" spans="2:2" ht="43.5" x14ac:dyDescent="0.35">
      <c r="B23" s="290" t="s">
        <v>138</v>
      </c>
    </row>
    <row r="24" spans="2:2" x14ac:dyDescent="0.35"/>
    <row r="25" spans="2:2" x14ac:dyDescent="0.35">
      <c r="B25" s="289" t="s">
        <v>139</v>
      </c>
    </row>
    <row r="26" spans="2:2" ht="48.75" customHeight="1" x14ac:dyDescent="0.35">
      <c r="B26" s="290" t="s">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8407-DF36-417B-B081-257F6D55A683}">
  <sheetPr>
    <pageSetUpPr fitToPage="1"/>
  </sheetPr>
  <dimension ref="A1:H55"/>
  <sheetViews>
    <sheetView topLeftCell="A38" workbookViewId="0">
      <selection activeCell="H46" sqref="H46"/>
    </sheetView>
  </sheetViews>
  <sheetFormatPr defaultColWidth="0" defaultRowHeight="15" customHeight="1" zeroHeight="1" x14ac:dyDescent="0.35"/>
  <cols>
    <col min="1" max="4" width="9.1796875" customWidth="1"/>
    <col min="5" max="5" width="17" customWidth="1"/>
    <col min="6" max="6" width="26.26953125" customWidth="1"/>
    <col min="7" max="7" width="14.1796875" customWidth="1"/>
    <col min="8" max="8" width="57.453125" customWidth="1"/>
    <col min="9" max="16384" width="9.1796875" hidden="1"/>
  </cols>
  <sheetData>
    <row r="1" spans="1:8" ht="51.75" customHeight="1" x14ac:dyDescent="0.6">
      <c r="D1" s="106" t="s">
        <v>85</v>
      </c>
      <c r="E1" s="107"/>
      <c r="F1" s="107"/>
      <c r="G1" s="2"/>
      <c r="H1" s="2"/>
    </row>
    <row r="2" spans="1:8" ht="6.75" customHeight="1" x14ac:dyDescent="0.6">
      <c r="A2" s="108"/>
      <c r="B2" s="109"/>
      <c r="C2" s="2"/>
      <c r="D2" s="2"/>
      <c r="E2" s="2"/>
      <c r="F2" s="2"/>
      <c r="G2" s="2"/>
      <c r="H2" s="2"/>
    </row>
    <row r="3" spans="1:8" ht="21" x14ac:dyDescent="0.5">
      <c r="A3" s="110" t="s">
        <v>86</v>
      </c>
      <c r="B3" s="111"/>
      <c r="C3" s="111"/>
      <c r="D3" s="111"/>
      <c r="E3" s="111"/>
      <c r="F3" s="111"/>
      <c r="G3" s="111"/>
      <c r="H3" s="111"/>
    </row>
    <row r="4" spans="1:8" s="4" customFormat="1" ht="15.5" x14ac:dyDescent="0.35">
      <c r="A4" s="3" t="s">
        <v>87</v>
      </c>
      <c r="B4" s="3"/>
      <c r="C4" s="3"/>
      <c r="D4" s="3"/>
      <c r="E4" s="3"/>
      <c r="F4" s="3"/>
      <c r="G4" s="3"/>
      <c r="H4" s="3"/>
    </row>
    <row r="5" spans="1:8" s="4" customFormat="1" ht="15.5" x14ac:dyDescent="0.35">
      <c r="A5" s="294"/>
      <c r="B5" s="5"/>
      <c r="C5" s="5"/>
      <c r="D5" s="5"/>
      <c r="E5" s="5"/>
      <c r="F5" s="5"/>
      <c r="G5" s="5"/>
      <c r="H5" s="5"/>
    </row>
    <row r="6" spans="1:8" s="4" customFormat="1" ht="15.5" x14ac:dyDescent="0.35">
      <c r="A6" s="5"/>
      <c r="B6" s="5"/>
      <c r="C6" s="5"/>
      <c r="D6" s="5"/>
      <c r="E6" s="5"/>
      <c r="F6" s="5"/>
      <c r="G6" s="5"/>
      <c r="H6" s="5"/>
    </row>
    <row r="7" spans="1:8" s="4" customFormat="1" ht="15.5" x14ac:dyDescent="0.35">
      <c r="A7" s="5"/>
      <c r="B7" s="5"/>
      <c r="C7" s="5"/>
      <c r="D7" s="5"/>
      <c r="E7" s="5"/>
      <c r="F7" s="5"/>
      <c r="G7" s="5"/>
      <c r="H7" s="5"/>
    </row>
    <row r="8" spans="1:8" s="4" customFormat="1" ht="15.5" x14ac:dyDescent="0.35">
      <c r="A8" s="5"/>
      <c r="B8" s="5"/>
      <c r="C8" s="5"/>
      <c r="D8" s="5"/>
      <c r="E8" s="5"/>
      <c r="F8" s="5"/>
      <c r="G8" s="5"/>
      <c r="H8" s="5"/>
    </row>
    <row r="9" spans="1:8" s="4" customFormat="1" ht="16" thickBot="1" x14ac:dyDescent="0.4">
      <c r="A9" s="295" t="s">
        <v>88</v>
      </c>
      <c r="B9"/>
      <c r="C9" s="5"/>
      <c r="D9" s="5"/>
      <c r="E9" s="5"/>
      <c r="F9" s="5"/>
      <c r="G9" s="5"/>
      <c r="H9" s="5"/>
    </row>
    <row r="10" spans="1:8" s="4" customFormat="1" ht="16.5" thickTop="1" thickBot="1" x14ac:dyDescent="0.4">
      <c r="A10" s="112" t="s">
        <v>89</v>
      </c>
      <c r="B10" s="296"/>
      <c r="C10" s="297"/>
      <c r="D10" s="297"/>
      <c r="E10" s="297"/>
      <c r="F10" s="297"/>
      <c r="G10" s="297"/>
      <c r="H10" s="298"/>
    </row>
    <row r="11" spans="1:8" s="4" customFormat="1" ht="15.5" x14ac:dyDescent="0.35">
      <c r="A11" s="388"/>
      <c r="B11" s="391" t="s">
        <v>90</v>
      </c>
      <c r="C11" s="392"/>
      <c r="D11" s="392"/>
      <c r="E11" s="392"/>
      <c r="F11" s="392"/>
      <c r="G11" s="39"/>
      <c r="H11" s="299"/>
    </row>
    <row r="12" spans="1:8" s="4" customFormat="1" ht="16.5" x14ac:dyDescent="0.35">
      <c r="A12" s="389"/>
      <c r="B12" s="300" t="s">
        <v>91</v>
      </c>
      <c r="C12" s="5"/>
      <c r="D12" s="5"/>
      <c r="E12" s="5"/>
      <c r="F12" s="5"/>
      <c r="G12" s="5"/>
      <c r="H12" s="301"/>
    </row>
    <row r="13" spans="1:8" s="4" customFormat="1" ht="16.5" x14ac:dyDescent="0.35">
      <c r="A13" s="389"/>
      <c r="B13" s="300" t="s">
        <v>92</v>
      </c>
      <c r="C13" s="5"/>
      <c r="D13" s="5"/>
      <c r="E13" s="5"/>
      <c r="F13" s="5"/>
      <c r="G13" s="5"/>
      <c r="H13" s="301"/>
    </row>
    <row r="14" spans="1:8" s="4" customFormat="1" ht="16.5" x14ac:dyDescent="0.35">
      <c r="A14" s="389"/>
      <c r="B14" s="393" t="s">
        <v>93</v>
      </c>
      <c r="C14" s="394"/>
      <c r="D14" s="394"/>
      <c r="E14" s="5"/>
      <c r="F14" s="5"/>
      <c r="G14" s="5"/>
      <c r="H14" s="301"/>
    </row>
    <row r="15" spans="1:8" s="4" customFormat="1" ht="16" thickBot="1" x14ac:dyDescent="0.4">
      <c r="A15" s="390"/>
      <c r="B15" s="302" t="s">
        <v>94</v>
      </c>
      <c r="C15" s="302"/>
      <c r="D15" s="302"/>
      <c r="E15" s="303"/>
      <c r="F15" s="303"/>
      <c r="G15" s="303"/>
      <c r="H15" s="304"/>
    </row>
    <row r="16" spans="1:8" s="4" customFormat="1" ht="16" thickTop="1" x14ac:dyDescent="0.35">
      <c r="A16" s="305"/>
      <c r="B16"/>
      <c r="C16" s="5"/>
      <c r="D16" s="5"/>
      <c r="E16" s="5"/>
      <c r="F16" s="5"/>
      <c r="G16" s="5"/>
      <c r="H16" s="5"/>
    </row>
    <row r="17" spans="1:8" s="4" customFormat="1" ht="15.5" x14ac:dyDescent="0.35">
      <c r="A17" s="5" t="s">
        <v>211</v>
      </c>
      <c r="B17" s="5"/>
      <c r="C17" s="5"/>
      <c r="D17" s="5"/>
      <c r="E17" s="5"/>
      <c r="F17" s="5"/>
      <c r="G17" s="5"/>
      <c r="H17" s="5"/>
    </row>
    <row r="18" spans="1:8" s="4" customFormat="1" ht="15.5" x14ac:dyDescent="0.35">
      <c r="A18" s="5" t="s">
        <v>95</v>
      </c>
      <c r="B18" s="5"/>
      <c r="C18" s="5" t="s">
        <v>212</v>
      </c>
      <c r="G18" s="5"/>
      <c r="H18" s="5"/>
    </row>
    <row r="19" spans="1:8" s="4" customFormat="1" ht="15.5" x14ac:dyDescent="0.35">
      <c r="C19" s="5" t="s">
        <v>96</v>
      </c>
      <c r="E19" s="5" t="s">
        <v>97</v>
      </c>
      <c r="F19" s="5" t="s">
        <v>98</v>
      </c>
      <c r="H19" s="5"/>
    </row>
    <row r="20" spans="1:8" s="4" customFormat="1" ht="15.5" x14ac:dyDescent="0.35"/>
    <row r="21" spans="1:8" s="4" customFormat="1" ht="15.5" x14ac:dyDescent="0.35">
      <c r="A21" s="4" t="s">
        <v>99</v>
      </c>
    </row>
    <row r="22" spans="1:8" s="4" customFormat="1" ht="15.5" x14ac:dyDescent="0.35">
      <c r="A22" s="4" t="s">
        <v>100</v>
      </c>
    </row>
    <row r="23" spans="1:8" s="4" customFormat="1" ht="15.5" x14ac:dyDescent="0.35"/>
    <row r="24" spans="1:8" s="4" customFormat="1" ht="15.5" x14ac:dyDescent="0.35">
      <c r="A24" s="4" t="s">
        <v>101</v>
      </c>
    </row>
    <row r="25" spans="1:8" s="4" customFormat="1" ht="15.5" x14ac:dyDescent="0.35">
      <c r="A25" s="4" t="s">
        <v>102</v>
      </c>
      <c r="G25" s="5"/>
    </row>
    <row r="26" spans="1:8" s="4" customFormat="1" ht="15.5" x14ac:dyDescent="0.35">
      <c r="A26" s="5" t="s">
        <v>103</v>
      </c>
    </row>
    <row r="27" spans="1:8" s="4" customFormat="1" ht="15.5" x14ac:dyDescent="0.35">
      <c r="A27" s="5" t="s">
        <v>104</v>
      </c>
    </row>
    <row r="28" spans="1:8" s="4" customFormat="1" ht="15.5" x14ac:dyDescent="0.35">
      <c r="A28" s="5"/>
    </row>
    <row r="29" spans="1:8" s="4" customFormat="1" ht="15.5" x14ac:dyDescent="0.35">
      <c r="A29" s="4" t="s">
        <v>105</v>
      </c>
    </row>
    <row r="30" spans="1:8" s="4" customFormat="1" ht="15.5" x14ac:dyDescent="0.35">
      <c r="A30" s="4" t="s">
        <v>106</v>
      </c>
    </row>
    <row r="31" spans="1:8" s="4" customFormat="1" ht="15.5" x14ac:dyDescent="0.35">
      <c r="A31" s="4" t="s">
        <v>107</v>
      </c>
    </row>
    <row r="32" spans="1:8" s="4" customFormat="1" ht="15.5" x14ac:dyDescent="0.35">
      <c r="A32" s="4" t="s">
        <v>108</v>
      </c>
    </row>
    <row r="33" spans="1:8" s="4" customFormat="1" ht="15.5" x14ac:dyDescent="0.35"/>
    <row r="34" spans="1:8" s="4" customFormat="1" ht="15.5" x14ac:dyDescent="0.35"/>
    <row r="35" spans="1:8" s="4" customFormat="1" ht="15.5" x14ac:dyDescent="0.35"/>
    <row r="36" spans="1:8" s="4" customFormat="1" ht="15.5" x14ac:dyDescent="0.35">
      <c r="D36" s="5" t="s">
        <v>109</v>
      </c>
    </row>
    <row r="37" spans="1:8" s="4" customFormat="1" ht="15.5" x14ac:dyDescent="0.35">
      <c r="A37" s="4" t="s">
        <v>110</v>
      </c>
    </row>
    <row r="38" spans="1:8" s="4" customFormat="1" ht="15.5" x14ac:dyDescent="0.35">
      <c r="A38" s="4" t="s">
        <v>111</v>
      </c>
    </row>
    <row r="39" spans="1:8" s="4" customFormat="1" ht="15.5" x14ac:dyDescent="0.35"/>
    <row r="40" spans="1:8" s="4" customFormat="1" ht="15.5" x14ac:dyDescent="0.35">
      <c r="A40" s="4" t="s">
        <v>112</v>
      </c>
    </row>
    <row r="41" spans="1:8" s="4" customFormat="1" ht="15.5" x14ac:dyDescent="0.35">
      <c r="A41" s="4" t="s">
        <v>113</v>
      </c>
    </row>
    <row r="42" spans="1:8" s="4" customFormat="1" ht="15.5" x14ac:dyDescent="0.35">
      <c r="A42" s="4" t="s">
        <v>114</v>
      </c>
    </row>
    <row r="43" spans="1:8" s="4" customFormat="1" ht="15.5" x14ac:dyDescent="0.35">
      <c r="A43" s="4" t="s">
        <v>115</v>
      </c>
    </row>
    <row r="44" spans="1:8" s="5" customFormat="1" ht="15.5" x14ac:dyDescent="0.35">
      <c r="A44" s="5" t="s">
        <v>123</v>
      </c>
    </row>
    <row r="45" spans="1:8" s="5" customFormat="1" ht="15.5" x14ac:dyDescent="0.35">
      <c r="A45" s="5" t="s">
        <v>116</v>
      </c>
    </row>
    <row r="46" spans="1:8" s="5" customFormat="1" ht="15.5" x14ac:dyDescent="0.35"/>
    <row r="47" spans="1:8" s="4" customFormat="1" ht="15.5" x14ac:dyDescent="0.35">
      <c r="A47" s="5" t="s">
        <v>117</v>
      </c>
      <c r="B47" s="5"/>
      <c r="C47" s="5"/>
      <c r="D47" s="5"/>
      <c r="E47" s="5"/>
      <c r="F47" s="5"/>
      <c r="G47" s="5"/>
      <c r="H47" s="5"/>
    </row>
    <row r="48" spans="1:8" s="4" customFormat="1" ht="15.5" x14ac:dyDescent="0.35">
      <c r="A48" s="5" t="s">
        <v>118</v>
      </c>
      <c r="B48" s="5"/>
      <c r="C48" s="5"/>
      <c r="D48" s="5"/>
      <c r="E48" s="5"/>
      <c r="F48" s="5"/>
      <c r="G48" s="5"/>
      <c r="H48" s="5"/>
    </row>
    <row r="49" spans="1:8" s="4" customFormat="1" ht="15.5" x14ac:dyDescent="0.35"/>
    <row r="50" spans="1:8" s="4" customFormat="1" ht="15.5" x14ac:dyDescent="0.35">
      <c r="A50" s="5" t="s">
        <v>119</v>
      </c>
    </row>
    <row r="51" spans="1:8" s="4" customFormat="1" ht="15.5" x14ac:dyDescent="0.35">
      <c r="A51" s="5" t="s">
        <v>120</v>
      </c>
    </row>
    <row r="52" spans="1:8" s="4" customFormat="1" ht="15.5" x14ac:dyDescent="0.35"/>
    <row r="53" spans="1:8" s="4" customFormat="1" ht="15.5" x14ac:dyDescent="0.35">
      <c r="A53" s="5" t="s">
        <v>121</v>
      </c>
      <c r="B53" s="5"/>
      <c r="C53" s="5"/>
      <c r="D53" s="5"/>
      <c r="E53" s="5"/>
      <c r="F53" s="5"/>
      <c r="G53" s="5"/>
      <c r="H53" s="5"/>
    </row>
    <row r="54" spans="1:8" s="4" customFormat="1" ht="15.5" x14ac:dyDescent="0.35"/>
    <row r="55" spans="1:8" ht="14.5" x14ac:dyDescent="0.35"/>
  </sheetData>
  <mergeCells count="3">
    <mergeCell ref="A11:A15"/>
    <mergeCell ref="B11:F11"/>
    <mergeCell ref="B14:D14"/>
  </mergeCells>
  <hyperlinks>
    <hyperlink ref="A10" r:id="rId1" display="https://www.nbsprinting.com/order-here-usa" xr:uid="{538FB577-52A7-4DB8-8228-A8200046AAAA}"/>
    <hyperlink ref="B11" r:id="rId2" display="https://www.nbsprinting.com/order-here-usa" xr:uid="{B86D1B6D-2B75-4E00-8737-C9690D479050}"/>
  </hyperlinks>
  <pageMargins left="0.7" right="0.7" top="0.75" bottom="0.75" header="0.3" footer="0.3"/>
  <pageSetup scale="57" orientation="landscape"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A6E52-6E9D-4E0D-91AA-A376C61B747B}">
  <sheetPr>
    <tabColor rgb="FFFFFF00"/>
    <pageSetUpPr fitToPage="1"/>
  </sheetPr>
  <dimension ref="A1:K60"/>
  <sheetViews>
    <sheetView showGridLines="0" topLeftCell="A38" zoomScale="75" zoomScaleNormal="75" workbookViewId="0">
      <selection activeCell="D7" sqref="D7"/>
    </sheetView>
  </sheetViews>
  <sheetFormatPr defaultColWidth="0" defaultRowHeight="15" customHeight="1" zeroHeight="1" x14ac:dyDescent="0.35"/>
  <cols>
    <col min="1" max="1" width="49.453125" style="41" customWidth="1"/>
    <col min="2" max="2" width="10.453125" style="41" customWidth="1"/>
    <col min="3" max="3" width="7.453125" style="41" customWidth="1"/>
    <col min="4" max="4" width="27.81640625" style="41" customWidth="1"/>
    <col min="5" max="5" width="3.453125" style="41" customWidth="1"/>
    <col min="6" max="6" width="55.26953125" style="41" customWidth="1"/>
    <col min="7" max="7" width="13" style="41" customWidth="1"/>
    <col min="8" max="9" width="12.453125" style="41" customWidth="1"/>
    <col min="10" max="10" width="12.7265625" style="41" customWidth="1"/>
    <col min="11" max="11" width="0" style="41" hidden="1" customWidth="1"/>
    <col min="12" max="16384" width="9.1796875" style="41" hidden="1"/>
  </cols>
  <sheetData>
    <row r="1" spans="1:10" ht="14.5" x14ac:dyDescent="0.35">
      <c r="A1" s="40"/>
      <c r="B1" s="40"/>
      <c r="C1" s="40"/>
      <c r="D1" s="40"/>
      <c r="E1" s="40"/>
      <c r="F1" s="40"/>
      <c r="G1" s="40"/>
      <c r="H1" s="40"/>
      <c r="I1" s="40"/>
      <c r="J1" s="40" t="s">
        <v>201</v>
      </c>
    </row>
    <row r="2" spans="1:10" ht="15.5" x14ac:dyDescent="0.35">
      <c r="A2" s="42"/>
      <c r="B2" s="43"/>
      <c r="C2" s="43"/>
      <c r="D2" s="43"/>
      <c r="E2" s="43"/>
      <c r="F2" s="43"/>
      <c r="G2" s="43"/>
      <c r="H2" s="43"/>
      <c r="I2" s="43"/>
      <c r="J2" s="44"/>
    </row>
    <row r="3" spans="1:10" ht="21" x14ac:dyDescent="0.35">
      <c r="A3" s="46" t="s">
        <v>20</v>
      </c>
      <c r="B3" s="40"/>
      <c r="C3" s="40"/>
      <c r="D3" s="40"/>
      <c r="E3" s="40"/>
      <c r="F3" s="40"/>
      <c r="G3" s="40"/>
      <c r="H3" s="40"/>
      <c r="I3" s="40"/>
      <c r="J3" s="45"/>
    </row>
    <row r="4" spans="1:10" ht="15" customHeight="1" x14ac:dyDescent="0.35">
      <c r="A4" s="46"/>
      <c r="B4" s="40"/>
      <c r="C4" s="40"/>
      <c r="D4" s="40"/>
      <c r="E4" s="40"/>
      <c r="F4" s="40"/>
      <c r="G4" s="40"/>
      <c r="H4" s="40"/>
      <c r="I4" s="40"/>
      <c r="J4" s="45"/>
    </row>
    <row r="5" spans="1:10" ht="14.5" x14ac:dyDescent="0.35">
      <c r="A5" s="47"/>
      <c r="B5" s="40"/>
      <c r="C5" s="40"/>
      <c r="D5" s="40"/>
      <c r="E5" s="40"/>
      <c r="F5" s="40"/>
      <c r="G5" s="40"/>
      <c r="H5" s="40"/>
      <c r="I5" s="40"/>
      <c r="J5" s="45"/>
    </row>
    <row r="6" spans="1:10" ht="23.5" x14ac:dyDescent="0.55000000000000004">
      <c r="A6" s="430" t="s">
        <v>145</v>
      </c>
      <c r="B6" s="431"/>
      <c r="C6" s="431"/>
      <c r="D6" s="431"/>
      <c r="E6" s="431"/>
      <c r="F6" s="431"/>
      <c r="G6" s="431"/>
      <c r="H6" s="431"/>
      <c r="I6" s="431"/>
      <c r="J6" s="432"/>
    </row>
    <row r="7" spans="1:10" s="2" customFormat="1" ht="47" x14ac:dyDescent="0.55000000000000004">
      <c r="A7" s="291" t="s">
        <v>210</v>
      </c>
      <c r="B7" s="292"/>
      <c r="C7" s="292"/>
      <c r="D7" s="292"/>
      <c r="E7" s="292"/>
      <c r="F7" s="292"/>
      <c r="G7" s="292"/>
      <c r="H7" s="292"/>
      <c r="I7" s="292"/>
      <c r="J7" s="293"/>
    </row>
    <row r="8" spans="1:10" ht="14.25" customHeight="1" x14ac:dyDescent="0.35">
      <c r="A8" s="84" t="s">
        <v>21</v>
      </c>
      <c r="B8" s="48"/>
      <c r="C8" s="48"/>
      <c r="D8" s="48"/>
      <c r="E8" s="48"/>
      <c r="G8" s="48"/>
      <c r="H8" s="48"/>
      <c r="I8" s="48"/>
      <c r="J8" s="50"/>
    </row>
    <row r="9" spans="1:10" ht="15.5" x14ac:dyDescent="0.35">
      <c r="A9" s="85" t="s">
        <v>22</v>
      </c>
      <c r="B9" s="48"/>
      <c r="C9" s="48"/>
      <c r="D9" s="48"/>
      <c r="E9" s="48"/>
      <c r="F9" s="48"/>
      <c r="G9" s="48"/>
      <c r="H9" s="48"/>
      <c r="I9" s="48"/>
      <c r="J9" s="50"/>
    </row>
    <row r="10" spans="1:10" ht="15.5" x14ac:dyDescent="0.35">
      <c r="A10" s="85"/>
      <c r="B10" s="48"/>
      <c r="C10" s="48"/>
      <c r="D10" s="48"/>
      <c r="E10" s="48"/>
      <c r="F10" s="48"/>
      <c r="G10" s="48"/>
      <c r="H10" s="48"/>
      <c r="I10" s="48"/>
      <c r="J10" s="50"/>
    </row>
    <row r="11" spans="1:10" ht="15.5" x14ac:dyDescent="0.35">
      <c r="A11" s="85" t="s">
        <v>23</v>
      </c>
      <c r="B11" s="48"/>
      <c r="C11" s="51" t="s">
        <v>24</v>
      </c>
      <c r="D11" s="51" t="s">
        <v>25</v>
      </c>
      <c r="E11" s="51"/>
      <c r="F11" s="51" t="s">
        <v>26</v>
      </c>
      <c r="G11" s="52"/>
      <c r="H11" s="48"/>
      <c r="I11" s="48"/>
      <c r="J11" s="50"/>
    </row>
    <row r="12" spans="1:10" ht="15.5" x14ac:dyDescent="0.35">
      <c r="A12" s="85" t="s">
        <v>146</v>
      </c>
      <c r="B12" s="48"/>
      <c r="C12" s="51" t="s">
        <v>24</v>
      </c>
      <c r="D12" s="51" t="s">
        <v>147</v>
      </c>
      <c r="E12" s="51"/>
      <c r="F12" s="51" t="s">
        <v>148</v>
      </c>
      <c r="G12" s="52"/>
      <c r="H12" s="48"/>
      <c r="I12" s="48"/>
      <c r="J12" s="50"/>
    </row>
    <row r="13" spans="1:10" ht="15.5" x14ac:dyDescent="0.35">
      <c r="A13" s="85" t="s">
        <v>189</v>
      </c>
      <c r="B13" s="48"/>
      <c r="C13" s="51" t="s">
        <v>24</v>
      </c>
      <c r="D13" s="51" t="s">
        <v>27</v>
      </c>
      <c r="E13" s="51"/>
      <c r="F13" s="51" t="s">
        <v>28</v>
      </c>
      <c r="G13" s="52"/>
      <c r="H13" s="48"/>
      <c r="I13" s="48"/>
      <c r="J13" s="50"/>
    </row>
    <row r="14" spans="1:10" ht="14.25" customHeight="1" x14ac:dyDescent="0.35">
      <c r="A14" s="53"/>
      <c r="B14" s="54"/>
      <c r="C14" s="54"/>
      <c r="D14" s="54"/>
      <c r="E14" s="54"/>
      <c r="F14" s="54"/>
      <c r="G14" s="55"/>
      <c r="H14" s="56"/>
      <c r="I14" s="56"/>
      <c r="J14" s="57"/>
    </row>
    <row r="15" spans="1:10" customFormat="1" ht="27.75" customHeight="1" x14ac:dyDescent="0.35">
      <c r="A15" s="433" t="s">
        <v>149</v>
      </c>
      <c r="B15" s="434"/>
      <c r="C15" s="434"/>
      <c r="D15" s="434"/>
      <c r="E15" s="434"/>
      <c r="F15" s="434"/>
      <c r="G15" s="434"/>
      <c r="H15" s="434"/>
      <c r="I15" s="434"/>
      <c r="J15" s="435"/>
    </row>
    <row r="16" spans="1:10" ht="22.5" customHeight="1" x14ac:dyDescent="0.35">
      <c r="A16" s="436" t="s">
        <v>29</v>
      </c>
      <c r="B16" s="437"/>
      <c r="C16" s="437"/>
      <c r="D16" s="437"/>
      <c r="E16" s="437"/>
      <c r="F16" s="437"/>
      <c r="G16" s="437"/>
      <c r="H16" s="437"/>
      <c r="I16" s="437"/>
      <c r="J16" s="438"/>
    </row>
    <row r="17" spans="1:10" ht="21" customHeight="1" x14ac:dyDescent="0.35">
      <c r="A17" s="436" t="s">
        <v>30</v>
      </c>
      <c r="B17" s="437"/>
      <c r="C17" s="437"/>
      <c r="D17" s="437"/>
      <c r="E17" s="437"/>
      <c r="F17" s="437"/>
      <c r="G17" s="437"/>
      <c r="H17" s="437"/>
      <c r="I17" s="437"/>
      <c r="J17" s="438"/>
    </row>
    <row r="18" spans="1:10" ht="21" customHeight="1" x14ac:dyDescent="0.35">
      <c r="A18" s="439" t="s">
        <v>31</v>
      </c>
      <c r="B18" s="440"/>
      <c r="C18" s="440"/>
      <c r="D18" s="440"/>
      <c r="E18" s="440"/>
      <c r="F18" s="440"/>
      <c r="G18" s="440"/>
      <c r="H18" s="440"/>
      <c r="I18" s="440"/>
      <c r="J18" s="441"/>
    </row>
    <row r="19" spans="1:10" ht="33" customHeight="1" x14ac:dyDescent="0.35">
      <c r="A19" s="410" t="s">
        <v>32</v>
      </c>
      <c r="B19" s="411"/>
      <c r="C19" s="411"/>
      <c r="D19" s="411"/>
      <c r="E19" s="411"/>
      <c r="F19" s="411"/>
      <c r="G19" s="411"/>
      <c r="H19" s="411"/>
      <c r="I19" s="411"/>
      <c r="J19" s="412"/>
    </row>
    <row r="20" spans="1:10" ht="23" x14ac:dyDescent="0.35">
      <c r="A20" s="421" t="s">
        <v>33</v>
      </c>
      <c r="B20" s="422"/>
      <c r="C20" s="422"/>
      <c r="D20" s="422"/>
      <c r="E20" s="422"/>
      <c r="F20" s="422"/>
      <c r="G20" s="422"/>
      <c r="H20" s="422"/>
      <c r="I20" s="422"/>
      <c r="J20" s="423"/>
    </row>
    <row r="21" spans="1:10" ht="20" x14ac:dyDescent="0.35">
      <c r="A21" s="424" t="s">
        <v>34</v>
      </c>
      <c r="B21" s="425"/>
      <c r="C21" s="425"/>
      <c r="D21" s="425"/>
      <c r="E21" s="425"/>
      <c r="F21" s="425"/>
      <c r="G21" s="425"/>
      <c r="H21" s="425"/>
      <c r="I21" s="425"/>
      <c r="J21" s="426"/>
    </row>
    <row r="22" spans="1:10" ht="20" x14ac:dyDescent="0.35">
      <c r="A22" s="427" t="s">
        <v>35</v>
      </c>
      <c r="B22" s="428"/>
      <c r="C22" s="428"/>
      <c r="D22" s="428"/>
      <c r="E22" s="428"/>
      <c r="F22" s="428"/>
      <c r="G22" s="428"/>
      <c r="H22" s="428"/>
      <c r="I22" s="428"/>
      <c r="J22" s="429"/>
    </row>
    <row r="23" spans="1:10" ht="20" x14ac:dyDescent="0.35">
      <c r="A23" s="427" t="s">
        <v>36</v>
      </c>
      <c r="B23" s="428"/>
      <c r="C23" s="428"/>
      <c r="D23" s="428"/>
      <c r="E23" s="428"/>
      <c r="F23" s="428"/>
      <c r="G23" s="428"/>
      <c r="H23" s="428"/>
      <c r="I23" s="428"/>
      <c r="J23" s="429"/>
    </row>
    <row r="24" spans="1:10" ht="20" x14ac:dyDescent="0.35">
      <c r="A24" s="398" t="s">
        <v>66</v>
      </c>
      <c r="B24" s="399"/>
      <c r="C24" s="399"/>
      <c r="D24" s="399"/>
      <c r="E24" s="399"/>
      <c r="F24" s="399"/>
      <c r="G24" s="399"/>
      <c r="H24" s="399"/>
      <c r="I24" s="399"/>
      <c r="J24" s="400"/>
    </row>
    <row r="25" spans="1:10" ht="9.75" customHeight="1" x14ac:dyDescent="0.35">
      <c r="A25" s="58"/>
      <c r="B25" s="48"/>
      <c r="C25" s="48"/>
      <c r="D25" s="48"/>
      <c r="E25" s="48"/>
      <c r="G25" s="48"/>
      <c r="H25" s="48"/>
      <c r="I25" s="48"/>
      <c r="J25" s="57"/>
    </row>
    <row r="26" spans="1:10" ht="21.75" customHeight="1" x14ac:dyDescent="0.4">
      <c r="A26" s="214" t="s">
        <v>37</v>
      </c>
      <c r="B26" s="66"/>
      <c r="C26" s="66"/>
      <c r="D26" s="67"/>
      <c r="E26" s="48"/>
      <c r="F26" s="214" t="s">
        <v>38</v>
      </c>
      <c r="G26" s="66"/>
      <c r="H26" s="66"/>
      <c r="I26" s="66"/>
      <c r="J26" s="67"/>
    </row>
    <row r="27" spans="1:10" ht="15.5" x14ac:dyDescent="0.35">
      <c r="A27" s="59"/>
      <c r="B27" s="60"/>
      <c r="C27" s="60"/>
      <c r="D27" s="78"/>
      <c r="E27" s="60"/>
      <c r="F27" s="49"/>
      <c r="G27" s="48"/>
      <c r="H27" s="48"/>
      <c r="I27" s="48"/>
      <c r="J27" s="50"/>
    </row>
    <row r="28" spans="1:10" ht="15.5" x14ac:dyDescent="0.35">
      <c r="A28" s="86" t="s">
        <v>76</v>
      </c>
      <c r="B28" s="60"/>
      <c r="C28" s="60"/>
      <c r="D28" s="78"/>
      <c r="E28" s="60"/>
      <c r="F28" s="49" t="s">
        <v>39</v>
      </c>
      <c r="G28" s="48"/>
      <c r="H28" s="48"/>
      <c r="I28" s="48"/>
      <c r="J28" s="50"/>
    </row>
    <row r="29" spans="1:10" ht="15.5" x14ac:dyDescent="0.35">
      <c r="A29" s="87" t="s">
        <v>40</v>
      </c>
      <c r="B29" s="60"/>
      <c r="C29" s="60"/>
      <c r="D29" s="78"/>
      <c r="E29" s="60"/>
      <c r="F29" s="63" t="s">
        <v>190</v>
      </c>
      <c r="G29" s="48"/>
      <c r="H29" s="48"/>
      <c r="I29" s="48"/>
      <c r="J29" s="50"/>
    </row>
    <row r="30" spans="1:10" ht="15.5" x14ac:dyDescent="0.35">
      <c r="A30" s="101" t="s">
        <v>81</v>
      </c>
      <c r="B30" s="102"/>
      <c r="C30" s="102"/>
      <c r="D30" s="103"/>
      <c r="E30" s="70"/>
      <c r="F30" s="215" t="s">
        <v>41</v>
      </c>
      <c r="G30" s="51"/>
      <c r="H30" s="51"/>
      <c r="I30" s="51"/>
      <c r="J30" s="61"/>
    </row>
    <row r="31" spans="1:10" ht="15.5" x14ac:dyDescent="0.35">
      <c r="A31" s="97" t="s">
        <v>78</v>
      </c>
      <c r="B31" s="70"/>
      <c r="C31" s="70"/>
      <c r="D31" s="99"/>
      <c r="E31" s="70"/>
      <c r="F31" s="79" t="s">
        <v>42</v>
      </c>
      <c r="G31" s="70"/>
      <c r="H31" s="51"/>
      <c r="I31" s="51"/>
      <c r="J31" s="61"/>
    </row>
    <row r="32" spans="1:10" ht="15.5" x14ac:dyDescent="0.35">
      <c r="A32" s="98" t="s">
        <v>77</v>
      </c>
      <c r="B32" s="38"/>
      <c r="C32" s="38"/>
      <c r="D32" s="100"/>
      <c r="E32" s="38"/>
      <c r="F32" s="216" t="s">
        <v>43</v>
      </c>
      <c r="G32" s="48"/>
      <c r="H32" s="48"/>
      <c r="I32" s="48"/>
      <c r="J32" s="50"/>
    </row>
    <row r="33" spans="1:10" ht="15.5" x14ac:dyDescent="0.35">
      <c r="A33" s="53"/>
      <c r="B33" s="56"/>
      <c r="C33" s="56"/>
      <c r="D33" s="57"/>
      <c r="E33" s="48"/>
      <c r="F33" s="80"/>
      <c r="G33" s="56"/>
      <c r="H33" s="56"/>
      <c r="I33" s="56"/>
      <c r="J33" s="57"/>
    </row>
    <row r="34" spans="1:10" ht="15.5" x14ac:dyDescent="0.35">
      <c r="A34" s="59"/>
      <c r="B34" s="62"/>
      <c r="C34" s="62"/>
      <c r="D34" s="62"/>
      <c r="E34" s="62"/>
      <c r="G34" s="62"/>
      <c r="H34" s="62"/>
      <c r="I34" s="62"/>
      <c r="J34" s="217"/>
    </row>
    <row r="35" spans="1:10" ht="20" x14ac:dyDescent="0.4">
      <c r="A35" s="401" t="s">
        <v>150</v>
      </c>
      <c r="B35" s="402"/>
      <c r="C35" s="402"/>
      <c r="D35" s="402"/>
      <c r="E35" s="402"/>
      <c r="F35" s="402"/>
      <c r="G35" s="402"/>
      <c r="H35" s="402"/>
      <c r="I35" s="402"/>
      <c r="J35" s="403"/>
    </row>
    <row r="36" spans="1:10" ht="18" customHeight="1" x14ac:dyDescent="0.4">
      <c r="A36" s="404" t="s">
        <v>44</v>
      </c>
      <c r="B36" s="405"/>
      <c r="C36" s="405"/>
      <c r="D36" s="405"/>
      <c r="E36" s="405"/>
      <c r="F36" s="405"/>
      <c r="G36" s="405"/>
      <c r="H36" s="405"/>
      <c r="I36" s="405"/>
      <c r="J36" s="406"/>
    </row>
    <row r="37" spans="1:10" ht="18" x14ac:dyDescent="0.4">
      <c r="A37" s="404" t="s">
        <v>67</v>
      </c>
      <c r="B37" s="405"/>
      <c r="C37" s="405"/>
      <c r="D37" s="405"/>
      <c r="E37" s="405"/>
      <c r="F37" s="405"/>
      <c r="G37" s="405"/>
      <c r="H37" s="405"/>
      <c r="I37" s="405"/>
      <c r="J37" s="406"/>
    </row>
    <row r="38" spans="1:10" ht="18" x14ac:dyDescent="0.4">
      <c r="A38" s="407" t="s">
        <v>45</v>
      </c>
      <c r="B38" s="408"/>
      <c r="C38" s="408"/>
      <c r="D38" s="408"/>
      <c r="E38" s="408"/>
      <c r="F38" s="408"/>
      <c r="G38" s="408"/>
      <c r="H38" s="408"/>
      <c r="I38" s="408"/>
      <c r="J38" s="409"/>
    </row>
    <row r="39" spans="1:10" ht="15.5" x14ac:dyDescent="0.35">
      <c r="A39" s="63"/>
      <c r="B39" s="48"/>
      <c r="C39" s="48"/>
      <c r="D39" s="48"/>
      <c r="E39" s="48"/>
      <c r="F39" s="48"/>
      <c r="G39" s="48"/>
      <c r="H39" s="48"/>
      <c r="I39" s="48"/>
      <c r="J39" s="218"/>
    </row>
    <row r="40" spans="1:10" ht="29.25" customHeight="1" x14ac:dyDescent="0.35">
      <c r="A40" s="410" t="s">
        <v>46</v>
      </c>
      <c r="B40" s="411"/>
      <c r="C40" s="411"/>
      <c r="D40" s="411"/>
      <c r="E40" s="411"/>
      <c r="F40" s="411"/>
      <c r="G40" s="411"/>
      <c r="H40" s="411"/>
      <c r="I40" s="411"/>
      <c r="J40" s="412"/>
    </row>
    <row r="41" spans="1:10" customFormat="1" ht="10.5" customHeight="1" x14ac:dyDescent="0.35">
      <c r="A41" s="81"/>
      <c r="B41" s="82"/>
      <c r="C41" s="82"/>
      <c r="D41" s="82"/>
      <c r="E41" s="82"/>
      <c r="F41" s="82" t="s">
        <v>191</v>
      </c>
      <c r="G41" s="82"/>
      <c r="H41" s="82"/>
      <c r="I41" s="82"/>
      <c r="J41" s="83"/>
    </row>
    <row r="42" spans="1:10" ht="18" x14ac:dyDescent="0.4">
      <c r="A42" s="219" t="s">
        <v>47</v>
      </c>
      <c r="B42" s="48"/>
      <c r="C42" s="48"/>
      <c r="D42" s="48"/>
      <c r="E42" s="48"/>
      <c r="F42" s="220" t="s">
        <v>48</v>
      </c>
      <c r="G42" s="48"/>
      <c r="H42" s="48"/>
      <c r="I42" s="48"/>
      <c r="J42" s="50"/>
    </row>
    <row r="43" spans="1:10" ht="15.5" x14ac:dyDescent="0.35">
      <c r="A43" s="88" t="s">
        <v>49</v>
      </c>
      <c r="B43" s="48"/>
      <c r="C43" s="48"/>
      <c r="D43" s="48"/>
      <c r="E43" s="48"/>
      <c r="F43" s="48" t="s">
        <v>49</v>
      </c>
      <c r="G43" s="48"/>
      <c r="H43" s="48"/>
      <c r="I43" s="48"/>
      <c r="J43" s="50"/>
    </row>
    <row r="44" spans="1:10" ht="16.5" x14ac:dyDescent="0.35">
      <c r="A44" s="413" t="s">
        <v>79</v>
      </c>
      <c r="B44" s="414"/>
      <c r="C44" s="414"/>
      <c r="D44" s="414"/>
      <c r="E44" s="48"/>
      <c r="F44" s="48" t="s">
        <v>50</v>
      </c>
      <c r="G44" s="48"/>
      <c r="H44" s="48"/>
      <c r="I44" s="48"/>
      <c r="J44" s="50"/>
    </row>
    <row r="45" spans="1:10" ht="15.5" x14ac:dyDescent="0.35">
      <c r="A45" s="84" t="s">
        <v>80</v>
      </c>
      <c r="B45" s="221"/>
      <c r="C45" s="221"/>
      <c r="D45" s="221"/>
      <c r="E45" s="221"/>
      <c r="F45" s="222" t="s">
        <v>51</v>
      </c>
      <c r="G45" s="222"/>
      <c r="H45" s="222"/>
      <c r="I45" s="222"/>
      <c r="J45" s="238"/>
    </row>
    <row r="46" spans="1:10" ht="15.5" x14ac:dyDescent="0.35">
      <c r="A46" s="89"/>
      <c r="B46" s="221"/>
      <c r="C46" s="221"/>
      <c r="D46" s="221"/>
      <c r="E46" s="221"/>
      <c r="F46" s="48" t="s">
        <v>52</v>
      </c>
      <c r="G46" s="221"/>
      <c r="H46" s="221"/>
      <c r="I46" s="221"/>
      <c r="J46" s="239"/>
    </row>
    <row r="47" spans="1:10" ht="15.5" x14ac:dyDescent="0.35">
      <c r="A47" s="89" t="s">
        <v>53</v>
      </c>
      <c r="B47" s="221"/>
      <c r="C47" s="221"/>
      <c r="D47" s="221"/>
      <c r="E47" s="221"/>
      <c r="F47" s="221" t="s">
        <v>54</v>
      </c>
      <c r="G47" s="221"/>
      <c r="H47" s="221"/>
      <c r="I47" s="221"/>
      <c r="J47" s="239"/>
    </row>
    <row r="48" spans="1:10" ht="15.5" x14ac:dyDescent="0.35">
      <c r="A48" s="139" t="s">
        <v>55</v>
      </c>
      <c r="B48" s="223"/>
      <c r="C48" s="224"/>
      <c r="D48" s="225"/>
      <c r="E48" s="225"/>
      <c r="F48" s="221" t="s">
        <v>56</v>
      </c>
      <c r="G48" s="226"/>
      <c r="H48" s="226"/>
      <c r="I48" s="226"/>
      <c r="J48" s="240"/>
    </row>
    <row r="49" spans="1:10" ht="15.5" x14ac:dyDescent="0.35">
      <c r="A49" s="139" t="s">
        <v>57</v>
      </c>
      <c r="B49" s="227"/>
      <c r="C49" s="224"/>
      <c r="D49" s="228"/>
      <c r="E49" s="228"/>
      <c r="F49" s="225" t="s">
        <v>69</v>
      </c>
      <c r="G49" s="229"/>
      <c r="H49" s="221"/>
      <c r="I49" s="221"/>
      <c r="J49" s="239"/>
    </row>
    <row r="50" spans="1:10" ht="15.5" x14ac:dyDescent="0.35">
      <c r="A50" s="415" t="s">
        <v>151</v>
      </c>
      <c r="B50" s="416"/>
      <c r="C50" s="416"/>
      <c r="D50" s="416"/>
      <c r="E50" s="227"/>
      <c r="F50" s="70" t="s">
        <v>68</v>
      </c>
      <c r="G50" s="227"/>
      <c r="H50" s="230"/>
      <c r="I50" s="230"/>
      <c r="J50" s="239"/>
    </row>
    <row r="51" spans="1:10" ht="15.5" x14ac:dyDescent="0.35">
      <c r="A51" s="59"/>
      <c r="D51" s="223"/>
      <c r="F51" s="231" t="s">
        <v>74</v>
      </c>
      <c r="G51" s="232"/>
      <c r="H51" s="230"/>
      <c r="I51" s="230"/>
      <c r="J51" s="239"/>
    </row>
    <row r="52" spans="1:10" ht="15.5" x14ac:dyDescent="0.35">
      <c r="A52" s="64"/>
      <c r="B52" s="2"/>
      <c r="C52" s="2"/>
      <c r="F52" s="233" t="s">
        <v>75</v>
      </c>
      <c r="G52" s="232"/>
      <c r="H52" s="230"/>
      <c r="I52" s="230"/>
      <c r="J52" s="239"/>
    </row>
    <row r="53" spans="1:10" ht="15.5" x14ac:dyDescent="0.35">
      <c r="A53" s="90" t="s">
        <v>58</v>
      </c>
      <c r="B53" s="232"/>
      <c r="C53" s="232"/>
      <c r="D53" s="232"/>
      <c r="E53" s="232"/>
      <c r="F53" s="234" t="s">
        <v>58</v>
      </c>
      <c r="G53" s="235"/>
      <c r="H53" s="51"/>
      <c r="I53" s="51"/>
      <c r="J53" s="50"/>
    </row>
    <row r="54" spans="1:10" ht="15.5" x14ac:dyDescent="0.35">
      <c r="A54" s="91" t="s">
        <v>59</v>
      </c>
      <c r="B54" s="236"/>
      <c r="C54" s="236"/>
      <c r="D54" s="236"/>
      <c r="E54" s="236"/>
      <c r="F54" s="417" t="s">
        <v>192</v>
      </c>
      <c r="G54" s="417"/>
      <c r="H54" s="417"/>
      <c r="I54" s="417"/>
      <c r="J54" s="418"/>
    </row>
    <row r="55" spans="1:10" ht="15.5" x14ac:dyDescent="0.35">
      <c r="A55" s="92" t="s">
        <v>60</v>
      </c>
      <c r="B55" s="236"/>
      <c r="C55" s="236"/>
      <c r="D55" s="236"/>
      <c r="E55" s="236"/>
      <c r="F55" s="417" t="s">
        <v>193</v>
      </c>
      <c r="G55" s="417"/>
      <c r="H55" s="417"/>
      <c r="I55" s="417"/>
      <c r="J55" s="418"/>
    </row>
    <row r="56" spans="1:10" ht="15.5" x14ac:dyDescent="0.35">
      <c r="A56" s="91" t="s">
        <v>62</v>
      </c>
      <c r="B56" s="236"/>
      <c r="C56" s="236"/>
      <c r="D56" s="236"/>
      <c r="E56" s="236"/>
      <c r="F56" s="237"/>
      <c r="G56" s="236"/>
      <c r="H56" s="70"/>
      <c r="I56" s="70"/>
      <c r="J56" s="50"/>
    </row>
    <row r="57" spans="1:10" ht="15.5" x14ac:dyDescent="0.35">
      <c r="A57" s="91"/>
      <c r="B57" s="236"/>
      <c r="C57" s="236"/>
      <c r="D57" s="236"/>
      <c r="E57" s="236"/>
      <c r="F57" s="417" t="s">
        <v>82</v>
      </c>
      <c r="G57" s="417"/>
      <c r="H57" s="417"/>
      <c r="I57" s="417"/>
      <c r="J57" s="418"/>
    </row>
    <row r="58" spans="1:10" ht="15.5" x14ac:dyDescent="0.35">
      <c r="A58" s="91"/>
      <c r="B58" s="236"/>
      <c r="C58" s="236"/>
      <c r="D58" s="236"/>
      <c r="E58" s="236"/>
      <c r="F58" s="417" t="s">
        <v>83</v>
      </c>
      <c r="G58" s="417"/>
      <c r="H58" s="417"/>
      <c r="I58" s="417"/>
      <c r="J58" s="418"/>
    </row>
    <row r="59" spans="1:10" ht="18.75" customHeight="1" x14ac:dyDescent="0.35">
      <c r="A59" s="91"/>
      <c r="B59" s="236"/>
      <c r="C59" s="236"/>
      <c r="D59" s="236"/>
      <c r="E59" s="236"/>
      <c r="F59" s="419" t="s">
        <v>61</v>
      </c>
      <c r="G59" s="419"/>
      <c r="H59" s="419"/>
      <c r="I59" s="419"/>
      <c r="J59" s="420"/>
    </row>
    <row r="60" spans="1:10" ht="22.5" customHeight="1" x14ac:dyDescent="0.35">
      <c r="A60" s="395" t="s">
        <v>63</v>
      </c>
      <c r="B60" s="396"/>
      <c r="C60" s="396"/>
      <c r="D60" s="396"/>
      <c r="E60" s="396"/>
      <c r="F60" s="396"/>
      <c r="G60" s="396"/>
      <c r="H60" s="396"/>
      <c r="I60" s="396"/>
      <c r="J60" s="397"/>
    </row>
  </sheetData>
  <mergeCells count="24">
    <mergeCell ref="A6:J6"/>
    <mergeCell ref="A15:J15"/>
    <mergeCell ref="A16:J16"/>
    <mergeCell ref="A17:J17"/>
    <mergeCell ref="A18:J18"/>
    <mergeCell ref="A19:J19"/>
    <mergeCell ref="A20:J20"/>
    <mergeCell ref="A21:J21"/>
    <mergeCell ref="A22:J22"/>
    <mergeCell ref="A23:J23"/>
    <mergeCell ref="A60:J60"/>
    <mergeCell ref="A24:J24"/>
    <mergeCell ref="A35:J35"/>
    <mergeCell ref="A36:J36"/>
    <mergeCell ref="A37:J37"/>
    <mergeCell ref="A38:J38"/>
    <mergeCell ref="A40:J40"/>
    <mergeCell ref="A44:D44"/>
    <mergeCell ref="A50:D50"/>
    <mergeCell ref="F54:J54"/>
    <mergeCell ref="F55:J55"/>
    <mergeCell ref="F57:J57"/>
    <mergeCell ref="F58:J58"/>
    <mergeCell ref="F59:J59"/>
  </mergeCells>
  <printOptions horizontalCentered="1"/>
  <pageMargins left="0.2" right="0.2" top="1" bottom="1" header="0.3" footer="0.3"/>
  <pageSetup scale="41"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536EB-D1CB-4504-8A4B-8FF0EDE950DB}">
  <dimension ref="A1:G5"/>
  <sheetViews>
    <sheetView workbookViewId="0">
      <pane ySplit="3" topLeftCell="A4" activePane="bottomLeft" state="frozen"/>
      <selection activeCell="C22" sqref="C22"/>
      <selection pane="bottomLeft" activeCell="A2" sqref="A2:G2"/>
    </sheetView>
  </sheetViews>
  <sheetFormatPr defaultColWidth="0" defaultRowHeight="13" zeroHeight="1" x14ac:dyDescent="0.3"/>
  <cols>
    <col min="1" max="1" width="9" style="149" customWidth="1"/>
    <col min="2" max="2" width="11.54296875" style="149" bestFit="1" customWidth="1"/>
    <col min="3" max="3" width="33" style="149" customWidth="1"/>
    <col min="4" max="4" width="9.26953125" style="149" bestFit="1" customWidth="1"/>
    <col min="5" max="5" width="20.26953125" style="149" bestFit="1" customWidth="1"/>
    <col min="6" max="6" width="5.7265625" style="152" bestFit="1" customWidth="1"/>
    <col min="7" max="7" width="16.1796875" style="152" customWidth="1"/>
    <col min="8" max="16384" width="78.1796875" style="149" hidden="1"/>
  </cols>
  <sheetData>
    <row r="1" spans="1:7" x14ac:dyDescent="0.3">
      <c r="A1" s="149">
        <f>COUNTIF(A4:A9,"&gt;0")</f>
        <v>1</v>
      </c>
    </row>
    <row r="2" spans="1:7" s="141" customFormat="1" ht="15.5" x14ac:dyDescent="0.35">
      <c r="A2" s="442" t="s">
        <v>216</v>
      </c>
      <c r="B2" s="442"/>
      <c r="C2" s="442"/>
      <c r="D2" s="442"/>
      <c r="E2" s="442"/>
      <c r="F2" s="442"/>
      <c r="G2" s="442"/>
    </row>
    <row r="3" spans="1:7" ht="18" customHeight="1" x14ac:dyDescent="0.3">
      <c r="A3" s="148" t="s">
        <v>152</v>
      </c>
      <c r="B3" s="148" t="s">
        <v>153</v>
      </c>
      <c r="C3" s="148" t="s">
        <v>154</v>
      </c>
      <c r="D3" s="148" t="s">
        <v>155</v>
      </c>
      <c r="E3" s="148" t="s">
        <v>156</v>
      </c>
      <c r="F3" s="148" t="s">
        <v>202</v>
      </c>
      <c r="G3" s="148" t="s">
        <v>182</v>
      </c>
    </row>
    <row r="4" spans="1:7" ht="15.5" x14ac:dyDescent="0.35">
      <c r="A4" s="4">
        <v>2263</v>
      </c>
      <c r="B4" s="4" t="s">
        <v>217</v>
      </c>
      <c r="C4" s="4" t="s">
        <v>218</v>
      </c>
      <c r="D4" s="4"/>
      <c r="E4" s="4" t="s">
        <v>219</v>
      </c>
      <c r="F4" s="4" t="s">
        <v>220</v>
      </c>
      <c r="G4" s="377">
        <v>15237</v>
      </c>
    </row>
    <row r="5" spans="1:7" ht="15.5" x14ac:dyDescent="0.35">
      <c r="A5" s="4"/>
      <c r="B5" s="4"/>
      <c r="C5" s="4"/>
      <c r="D5" s="4"/>
      <c r="E5" s="4"/>
      <c r="F5" s="4"/>
      <c r="G5" s="377"/>
    </row>
  </sheetData>
  <mergeCells count="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058B-7FFE-44F9-9792-5F488F59BB59}">
  <sheetPr>
    <tabColor theme="9" tint="0.39997558519241921"/>
    <pageSetUpPr fitToPage="1"/>
  </sheetPr>
  <dimension ref="A1:W22"/>
  <sheetViews>
    <sheetView topLeftCell="K1" zoomScale="90" zoomScaleNormal="90" workbookViewId="0">
      <pane ySplit="1" topLeftCell="A18" activePane="bottomLeft" state="frozen"/>
      <selection pane="bottomLeft" activeCell="F5" sqref="F5"/>
    </sheetView>
  </sheetViews>
  <sheetFormatPr defaultColWidth="14.453125" defaultRowHeight="14.5" x14ac:dyDescent="0.35"/>
  <cols>
    <col min="1" max="1" width="27.453125" customWidth="1"/>
    <col min="2" max="2" width="28.1796875" customWidth="1"/>
    <col min="3" max="3" width="25.26953125" customWidth="1"/>
    <col min="4" max="4" width="10.26953125" customWidth="1"/>
    <col min="5" max="5" width="15.453125" bestFit="1" customWidth="1"/>
    <col min="6" max="6" width="5.7265625" customWidth="1"/>
    <col min="7" max="7" width="11.7265625" bestFit="1" customWidth="1"/>
    <col min="8" max="9" width="13.7265625" customWidth="1"/>
    <col min="10" max="19" width="13.54296875" customWidth="1"/>
    <col min="20" max="20" width="22.81640625" customWidth="1"/>
    <col min="21" max="21" width="11" bestFit="1" customWidth="1"/>
    <col min="22" max="22" width="9.1796875" customWidth="1"/>
    <col min="23" max="23" width="14.7265625" customWidth="1"/>
    <col min="24" max="27" width="9.1796875" customWidth="1"/>
  </cols>
  <sheetData>
    <row r="1" spans="1:23" ht="21.75" customHeight="1" x14ac:dyDescent="0.35">
      <c r="A1" s="256" t="s">
        <v>159</v>
      </c>
      <c r="B1" s="170"/>
      <c r="C1" s="170"/>
      <c r="D1" s="170"/>
      <c r="E1" s="170"/>
      <c r="F1" s="171"/>
      <c r="G1" s="170"/>
      <c r="H1" s="170"/>
      <c r="I1" s="170"/>
      <c r="J1" s="170"/>
      <c r="K1" s="170"/>
      <c r="L1" s="170"/>
      <c r="M1" s="170"/>
      <c r="N1" s="170"/>
      <c r="O1" s="170"/>
      <c r="P1" s="170"/>
      <c r="Q1" s="170"/>
      <c r="R1" s="170"/>
      <c r="S1" s="172"/>
      <c r="T1" s="37"/>
      <c r="U1" s="37"/>
      <c r="V1" s="37"/>
      <c r="W1" s="37"/>
    </row>
    <row r="2" spans="1:23" ht="13.5" customHeight="1" x14ac:dyDescent="0.35">
      <c r="A2" s="257" t="s">
        <v>160</v>
      </c>
      <c r="B2" s="258" t="s">
        <v>221</v>
      </c>
      <c r="C2" s="173"/>
      <c r="D2" s="172"/>
      <c r="E2" s="172"/>
      <c r="F2" s="172"/>
      <c r="G2" s="172"/>
      <c r="H2" s="172"/>
      <c r="I2" s="172"/>
      <c r="J2" s="172"/>
      <c r="K2" s="172"/>
      <c r="L2" s="172"/>
      <c r="M2" s="172"/>
      <c r="N2" s="172"/>
      <c r="O2" s="172"/>
      <c r="P2" s="172"/>
      <c r="Q2" s="172"/>
      <c r="R2" s="172"/>
      <c r="S2" s="172"/>
      <c r="T2" s="37"/>
      <c r="U2" s="37"/>
      <c r="V2" s="37"/>
      <c r="W2" s="37"/>
    </row>
    <row r="3" spans="1:23" ht="13.5" customHeight="1" x14ac:dyDescent="0.35">
      <c r="A3" s="259" t="s">
        <v>161</v>
      </c>
      <c r="B3" s="260" t="s">
        <v>162</v>
      </c>
      <c r="C3" s="173"/>
      <c r="D3" s="172"/>
      <c r="E3" s="172"/>
      <c r="F3" s="172"/>
      <c r="G3" s="172"/>
      <c r="H3" s="172"/>
      <c r="I3" s="172"/>
      <c r="J3" s="172"/>
      <c r="K3" s="172"/>
      <c r="L3" s="172"/>
      <c r="M3" s="172"/>
      <c r="N3" s="172"/>
      <c r="O3" s="172"/>
      <c r="P3" s="172"/>
      <c r="Q3" s="172"/>
      <c r="R3" s="172"/>
      <c r="S3" s="172"/>
      <c r="T3" s="37"/>
      <c r="U3" s="37"/>
      <c r="V3" s="37"/>
      <c r="W3" s="37"/>
    </row>
    <row r="4" spans="1:23" ht="13.5" customHeight="1" x14ac:dyDescent="0.35">
      <c r="A4" s="261" t="s">
        <v>0</v>
      </c>
      <c r="B4" s="262"/>
      <c r="C4" s="175"/>
      <c r="D4" s="174"/>
      <c r="E4" s="174"/>
      <c r="F4" s="174"/>
      <c r="G4" s="174"/>
      <c r="H4" s="174"/>
      <c r="I4" s="174"/>
      <c r="J4" s="174"/>
      <c r="K4" s="174"/>
      <c r="L4" s="174"/>
      <c r="M4" s="174"/>
      <c r="N4" s="174"/>
      <c r="O4" s="174"/>
      <c r="P4" s="174"/>
      <c r="Q4" s="174"/>
      <c r="R4" s="174"/>
      <c r="S4" s="174"/>
      <c r="T4" s="37"/>
      <c r="U4" s="37"/>
      <c r="V4" s="37"/>
      <c r="W4" s="37"/>
    </row>
    <row r="5" spans="1:23" ht="13.5" customHeight="1" x14ac:dyDescent="0.35">
      <c r="A5" s="261" t="s">
        <v>163</v>
      </c>
      <c r="B5" s="263"/>
      <c r="C5" s="264"/>
      <c r="D5" s="174"/>
      <c r="E5" s="174"/>
      <c r="F5" s="174"/>
      <c r="G5" s="174"/>
      <c r="H5" s="174"/>
      <c r="I5" s="174"/>
      <c r="J5" s="174"/>
      <c r="K5" s="174"/>
      <c r="L5" s="174"/>
      <c r="M5" s="174"/>
      <c r="N5" s="174"/>
      <c r="O5" s="174"/>
      <c r="P5" s="174"/>
      <c r="Q5" s="174"/>
      <c r="R5" s="174"/>
      <c r="S5" s="174"/>
      <c r="T5" s="37"/>
      <c r="U5" s="37"/>
      <c r="V5" s="37"/>
      <c r="W5" s="37"/>
    </row>
    <row r="6" spans="1:23" ht="13.5" customHeight="1" x14ac:dyDescent="0.4">
      <c r="A6" s="265" t="s">
        <v>164</v>
      </c>
      <c r="B6" s="263"/>
      <c r="C6" s="266"/>
      <c r="D6" s="174"/>
      <c r="E6" s="267"/>
      <c r="F6" s="268"/>
      <c r="G6" s="268"/>
      <c r="H6" s="267"/>
      <c r="I6" s="267"/>
      <c r="J6" s="267"/>
      <c r="K6" s="267"/>
      <c r="L6" s="267"/>
      <c r="M6" s="267"/>
      <c r="N6" s="267"/>
      <c r="O6" s="267"/>
      <c r="P6" s="267"/>
      <c r="Q6" s="267"/>
      <c r="R6" s="267"/>
      <c r="S6" s="174"/>
      <c r="T6" s="37"/>
      <c r="U6" s="37"/>
      <c r="V6" s="37"/>
      <c r="W6" s="37"/>
    </row>
    <row r="7" spans="1:23" ht="13.5" customHeight="1" x14ac:dyDescent="0.4">
      <c r="A7" s="265" t="s">
        <v>166</v>
      </c>
      <c r="B7" s="263"/>
      <c r="C7" s="269"/>
      <c r="D7" s="174"/>
      <c r="E7" s="174"/>
      <c r="F7" s="174"/>
      <c r="G7" s="174"/>
      <c r="H7" s="174"/>
      <c r="I7" s="174"/>
      <c r="J7" s="174"/>
      <c r="K7" s="174"/>
      <c r="L7" s="174"/>
      <c r="M7" s="174"/>
      <c r="N7" s="174"/>
      <c r="O7" s="174"/>
      <c r="P7" s="174"/>
      <c r="Q7" s="174"/>
      <c r="R7" s="174"/>
      <c r="S7" s="174"/>
      <c r="T7" s="37"/>
      <c r="U7" s="37"/>
      <c r="V7" s="37"/>
      <c r="W7" s="37"/>
    </row>
    <row r="8" spans="1:23" ht="13.5" customHeight="1" x14ac:dyDescent="0.4">
      <c r="A8" s="265" t="s">
        <v>167</v>
      </c>
      <c r="B8" s="263"/>
      <c r="C8" s="269"/>
      <c r="D8" s="174"/>
      <c r="E8" s="174"/>
      <c r="F8" s="174"/>
      <c r="G8" s="174"/>
      <c r="H8" s="174"/>
      <c r="I8" s="174"/>
      <c r="J8" s="174"/>
      <c r="K8" s="174"/>
      <c r="L8" s="174"/>
      <c r="M8" s="174"/>
      <c r="N8" s="174"/>
      <c r="O8" s="174"/>
      <c r="P8" s="174"/>
      <c r="Q8" s="174"/>
      <c r="R8" s="174"/>
      <c r="S8" s="174"/>
      <c r="T8" s="37"/>
      <c r="U8" s="37"/>
      <c r="V8" s="37"/>
      <c r="W8" s="37"/>
    </row>
    <row r="9" spans="1:23" ht="13.5" customHeight="1" x14ac:dyDescent="0.4">
      <c r="A9" s="265" t="s">
        <v>168</v>
      </c>
      <c r="B9" s="263"/>
      <c r="C9" s="269"/>
      <c r="D9" s="174"/>
      <c r="E9" s="174"/>
      <c r="F9" s="174"/>
      <c r="G9" s="174"/>
      <c r="H9" s="174"/>
      <c r="I9" s="174"/>
      <c r="J9" s="174"/>
      <c r="K9" s="174"/>
      <c r="L9" s="174"/>
      <c r="M9" s="174"/>
      <c r="N9" s="174"/>
      <c r="O9" s="174"/>
      <c r="P9" s="174"/>
      <c r="Q9" s="174"/>
      <c r="R9" s="174"/>
      <c r="S9" s="174"/>
      <c r="T9" s="37"/>
      <c r="U9" s="37"/>
      <c r="V9" s="37"/>
      <c r="W9" s="37"/>
    </row>
    <row r="10" spans="1:23" ht="13.5" customHeight="1" x14ac:dyDescent="0.4">
      <c r="A10" s="265" t="s">
        <v>169</v>
      </c>
      <c r="B10" s="270"/>
      <c r="C10" s="269"/>
      <c r="D10" s="174"/>
      <c r="E10" s="174"/>
      <c r="F10" s="174"/>
      <c r="G10" s="174"/>
      <c r="H10" s="174"/>
      <c r="I10" s="174"/>
      <c r="J10" s="174"/>
      <c r="K10" s="174"/>
      <c r="L10" s="174"/>
      <c r="M10" s="174"/>
      <c r="N10" s="174"/>
      <c r="O10" s="174"/>
      <c r="P10" s="174"/>
      <c r="Q10" s="174"/>
      <c r="R10" s="174"/>
      <c r="S10" s="174"/>
      <c r="T10" s="37"/>
      <c r="U10" s="37"/>
      <c r="V10" s="37"/>
      <c r="W10" s="37"/>
    </row>
    <row r="11" spans="1:23" ht="13.5" customHeight="1" x14ac:dyDescent="0.4">
      <c r="A11" s="265" t="s">
        <v>170</v>
      </c>
      <c r="B11" s="263"/>
      <c r="C11" s="269"/>
      <c r="D11" s="174"/>
      <c r="E11" s="174"/>
      <c r="F11" s="174"/>
      <c r="G11" s="174"/>
      <c r="H11" s="174"/>
      <c r="I11" s="174"/>
      <c r="J11" s="174"/>
      <c r="K11" s="174"/>
      <c r="L11" s="174"/>
      <c r="M11" s="174"/>
      <c r="N11" s="174"/>
      <c r="O11" s="174"/>
      <c r="P11" s="174"/>
      <c r="Q11" s="174"/>
      <c r="R11" s="174"/>
      <c r="S11" s="174"/>
      <c r="T11" s="37"/>
      <c r="U11" s="37"/>
      <c r="V11" s="37"/>
      <c r="W11" s="37"/>
    </row>
    <row r="12" spans="1:23" ht="13.5" customHeight="1" x14ac:dyDescent="0.35">
      <c r="A12" s="265" t="s">
        <v>171</v>
      </c>
      <c r="B12" s="271"/>
      <c r="C12" s="272"/>
      <c r="D12" s="174"/>
      <c r="E12" s="174"/>
      <c r="F12" s="174"/>
      <c r="G12" s="174"/>
      <c r="H12" s="174"/>
      <c r="I12" s="174"/>
      <c r="J12" s="174"/>
      <c r="K12" s="174"/>
      <c r="L12" s="174"/>
      <c r="M12" s="174"/>
      <c r="N12" s="174"/>
      <c r="O12" s="174"/>
      <c r="P12" s="174"/>
      <c r="Q12" s="174"/>
      <c r="R12" s="174"/>
      <c r="S12" s="174"/>
      <c r="T12" s="37"/>
      <c r="U12" s="37"/>
      <c r="V12" s="37"/>
      <c r="W12" s="37"/>
    </row>
    <row r="13" spans="1:23" ht="13.5" customHeight="1" x14ac:dyDescent="0.4">
      <c r="A13" s="265" t="s">
        <v>172</v>
      </c>
      <c r="B13" s="263"/>
      <c r="C13" s="264"/>
      <c r="D13" s="174"/>
      <c r="E13" s="174"/>
      <c r="F13" s="174"/>
      <c r="G13" s="174"/>
      <c r="H13" s="444" t="s">
        <v>165</v>
      </c>
      <c r="I13" s="444"/>
      <c r="J13" s="444"/>
      <c r="K13" s="444"/>
      <c r="L13" s="444"/>
      <c r="M13" s="444"/>
      <c r="N13" s="444"/>
      <c r="O13" s="444"/>
      <c r="P13" s="444"/>
      <c r="Q13" s="444"/>
      <c r="R13" s="444"/>
      <c r="S13" s="174"/>
      <c r="T13" s="37"/>
      <c r="U13" s="37"/>
      <c r="V13" s="37"/>
      <c r="W13" s="37"/>
    </row>
    <row r="14" spans="1:23" ht="13.5" customHeight="1" x14ac:dyDescent="0.35">
      <c r="A14" s="265" t="s">
        <v>173</v>
      </c>
      <c r="B14" s="262"/>
      <c r="C14" s="175"/>
      <c r="D14" s="174"/>
      <c r="E14" s="174"/>
      <c r="F14" s="174"/>
      <c r="G14" s="174"/>
      <c r="H14" s="448" t="s">
        <v>213</v>
      </c>
      <c r="I14" s="448"/>
      <c r="J14" s="448"/>
      <c r="K14" s="448"/>
      <c r="L14" s="448"/>
      <c r="M14" s="448"/>
      <c r="N14" s="448"/>
      <c r="O14" s="448"/>
      <c r="P14" s="448"/>
      <c r="Q14" s="448"/>
      <c r="R14" s="448"/>
      <c r="S14" s="174"/>
      <c r="T14" s="37"/>
      <c r="U14" s="37"/>
      <c r="V14" s="37"/>
      <c r="W14" s="37"/>
    </row>
    <row r="15" spans="1:23" ht="13.5" customHeight="1" x14ac:dyDescent="0.35">
      <c r="A15" s="265" t="s">
        <v>194</v>
      </c>
      <c r="B15" s="273"/>
      <c r="C15" s="175"/>
      <c r="D15" s="174"/>
      <c r="E15" s="174"/>
      <c r="F15" s="174"/>
      <c r="G15" s="174"/>
      <c r="H15" s="448" t="s">
        <v>214</v>
      </c>
      <c r="I15" s="448"/>
      <c r="J15" s="448"/>
      <c r="K15" s="448"/>
      <c r="L15" s="448"/>
      <c r="M15" s="448"/>
      <c r="N15" s="448"/>
      <c r="O15" s="448"/>
      <c r="P15" s="448"/>
      <c r="Q15" s="448"/>
      <c r="R15" s="448"/>
      <c r="S15" s="174"/>
      <c r="T15" s="37"/>
      <c r="U15" s="37"/>
      <c r="V15" s="37"/>
      <c r="W15" s="37"/>
    </row>
    <row r="16" spans="1:23" ht="13.5" customHeight="1" x14ac:dyDescent="0.35">
      <c r="A16" s="265" t="s">
        <v>174</v>
      </c>
      <c r="B16" s="262"/>
      <c r="C16" s="175"/>
      <c r="D16" s="174"/>
      <c r="E16" s="174"/>
      <c r="F16" s="174"/>
      <c r="G16" s="174"/>
      <c r="H16" s="174"/>
      <c r="I16" s="174"/>
      <c r="J16" s="174"/>
      <c r="K16" s="174"/>
      <c r="L16" s="174"/>
      <c r="M16" s="174"/>
      <c r="N16" s="174"/>
      <c r="O16" s="174"/>
      <c r="P16" s="174"/>
      <c r="Q16" s="174"/>
      <c r="R16" s="174"/>
      <c r="S16" s="174"/>
      <c r="T16" s="37"/>
      <c r="U16" s="37"/>
      <c r="V16" s="37"/>
      <c r="W16" s="37"/>
    </row>
    <row r="17" spans="1:23" ht="13.5" customHeight="1" x14ac:dyDescent="0.35">
      <c r="A17" s="274" t="s">
        <v>203</v>
      </c>
      <c r="B17" s="378"/>
      <c r="C17" s="175"/>
      <c r="D17" s="174"/>
      <c r="E17" s="174"/>
      <c r="F17" s="174"/>
      <c r="G17" s="174"/>
      <c r="H17" s="174"/>
      <c r="I17" s="174"/>
      <c r="J17" s="174"/>
      <c r="K17" s="174"/>
      <c r="L17" s="174"/>
      <c r="M17" s="174"/>
      <c r="N17" s="174"/>
      <c r="O17" s="175">
        <f>SUM(O22:O40)</f>
        <v>0</v>
      </c>
      <c r="P17" s="175"/>
      <c r="Q17" s="175"/>
      <c r="R17" s="174"/>
      <c r="S17" s="174"/>
      <c r="T17" s="37"/>
      <c r="U17" s="37"/>
      <c r="V17" s="37"/>
      <c r="W17" s="37"/>
    </row>
    <row r="18" spans="1:23" ht="13.5" customHeight="1" x14ac:dyDescent="0.35">
      <c r="A18" s="274" t="s">
        <v>204</v>
      </c>
      <c r="B18" s="378"/>
      <c r="C18" s="175"/>
      <c r="D18" s="174"/>
      <c r="E18" s="174"/>
      <c r="F18" s="174"/>
      <c r="G18" s="174"/>
      <c r="H18" s="174"/>
      <c r="I18" s="174"/>
      <c r="J18" s="174"/>
      <c r="K18" s="449" t="s">
        <v>215</v>
      </c>
      <c r="L18" s="449"/>
      <c r="M18" s="449"/>
      <c r="N18" s="449"/>
      <c r="O18" s="449"/>
      <c r="P18" s="449"/>
      <c r="Q18" s="449"/>
      <c r="R18" s="449"/>
      <c r="S18" s="174"/>
      <c r="T18" s="37"/>
      <c r="U18" s="37"/>
      <c r="V18" s="37"/>
      <c r="W18" s="37"/>
    </row>
    <row r="19" spans="1:23" ht="13.5" customHeight="1" x14ac:dyDescent="0.35">
      <c r="A19" s="275" t="s">
        <v>175</v>
      </c>
      <c r="B19" s="276"/>
      <c r="C19" s="175"/>
      <c r="D19" s="174"/>
      <c r="E19" s="174"/>
      <c r="F19" s="176"/>
      <c r="G19" s="176"/>
      <c r="H19" s="277">
        <f>SUM(H22:H22)</f>
        <v>0</v>
      </c>
      <c r="I19" s="277">
        <f>SUM(I22:I22)</f>
        <v>0</v>
      </c>
      <c r="J19" s="277">
        <f>SUM(J22:J22)</f>
        <v>0</v>
      </c>
      <c r="K19" s="445" t="s">
        <v>176</v>
      </c>
      <c r="L19" s="446"/>
      <c r="M19" s="446"/>
      <c r="N19" s="446"/>
      <c r="O19" s="447" t="s">
        <v>177</v>
      </c>
      <c r="P19" s="446"/>
      <c r="Q19" s="446"/>
      <c r="R19" s="446"/>
      <c r="S19" s="174"/>
      <c r="T19" s="37"/>
      <c r="U19" s="37"/>
      <c r="V19" s="37"/>
      <c r="W19" s="37"/>
    </row>
    <row r="20" spans="1:23" ht="13.5" customHeight="1" x14ac:dyDescent="0.35">
      <c r="A20" s="170"/>
      <c r="B20" s="170"/>
      <c r="C20" s="170"/>
      <c r="D20" s="170"/>
      <c r="E20" s="170"/>
      <c r="F20" s="171"/>
      <c r="G20" s="170"/>
      <c r="H20" s="278" t="s">
        <v>178</v>
      </c>
      <c r="I20" s="278" t="s">
        <v>178</v>
      </c>
      <c r="J20" s="278" t="s">
        <v>178</v>
      </c>
      <c r="K20" s="278" t="s">
        <v>178</v>
      </c>
      <c r="L20" s="278" t="s">
        <v>178</v>
      </c>
      <c r="M20" s="278" t="s">
        <v>178</v>
      </c>
      <c r="N20" s="278" t="s">
        <v>178</v>
      </c>
      <c r="O20" s="278" t="s">
        <v>178</v>
      </c>
      <c r="P20" s="278" t="s">
        <v>178</v>
      </c>
      <c r="Q20" s="278" t="s">
        <v>178</v>
      </c>
      <c r="R20" s="278" t="s">
        <v>178</v>
      </c>
      <c r="S20" s="279" t="s">
        <v>179</v>
      </c>
      <c r="T20" s="443" t="s">
        <v>179</v>
      </c>
      <c r="U20" s="443"/>
      <c r="V20" s="443"/>
      <c r="W20" s="443"/>
    </row>
    <row r="21" spans="1:23" s="286" customFormat="1" ht="31.5" customHeight="1" x14ac:dyDescent="0.35">
      <c r="A21" s="280" t="s">
        <v>180</v>
      </c>
      <c r="B21" s="280" t="s">
        <v>153</v>
      </c>
      <c r="C21" s="280" t="s">
        <v>154</v>
      </c>
      <c r="D21" s="280" t="s">
        <v>181</v>
      </c>
      <c r="E21" s="280" t="s">
        <v>156</v>
      </c>
      <c r="F21" s="280" t="s">
        <v>157</v>
      </c>
      <c r="G21" s="280" t="s">
        <v>182</v>
      </c>
      <c r="H21" s="281" t="s">
        <v>183</v>
      </c>
      <c r="I21" s="282" t="s">
        <v>184</v>
      </c>
      <c r="J21" s="282" t="s">
        <v>185</v>
      </c>
      <c r="K21" s="282" t="s">
        <v>186</v>
      </c>
      <c r="L21" s="282" t="s">
        <v>195</v>
      </c>
      <c r="M21" s="282" t="s">
        <v>196</v>
      </c>
      <c r="N21" s="282" t="s">
        <v>197</v>
      </c>
      <c r="O21" s="282" t="s">
        <v>187</v>
      </c>
      <c r="P21" s="283" t="s">
        <v>198</v>
      </c>
      <c r="Q21" s="283" t="s">
        <v>199</v>
      </c>
      <c r="R21" s="283" t="s">
        <v>200</v>
      </c>
      <c r="S21" s="284" t="s">
        <v>188</v>
      </c>
      <c r="T21" s="285" t="s">
        <v>205</v>
      </c>
      <c r="U21" s="285" t="s">
        <v>206</v>
      </c>
      <c r="V21" s="285" t="s">
        <v>207</v>
      </c>
      <c r="W21" s="285" t="s">
        <v>208</v>
      </c>
    </row>
    <row r="22" spans="1:23" s="4" customFormat="1" ht="13.5" customHeight="1" x14ac:dyDescent="0.35">
      <c r="A22" s="247">
        <v>2263</v>
      </c>
      <c r="B22" s="247" t="s">
        <v>217</v>
      </c>
      <c r="C22" s="4" t="s">
        <v>218</v>
      </c>
      <c r="E22" s="4" t="s">
        <v>219</v>
      </c>
      <c r="F22" s="4" t="s">
        <v>220</v>
      </c>
      <c r="G22" s="377">
        <v>15237</v>
      </c>
      <c r="W22" s="379">
        <f>((P22*Q22*R22)/1728)*O22</f>
        <v>0</v>
      </c>
    </row>
  </sheetData>
  <sortState xmlns:xlrd2="http://schemas.microsoft.com/office/spreadsheetml/2017/richdata2" ref="A22:AA24">
    <sortCondition ref="A22:A24"/>
  </sortState>
  <mergeCells count="7">
    <mergeCell ref="T20:W20"/>
    <mergeCell ref="H13:R13"/>
    <mergeCell ref="K19:N19"/>
    <mergeCell ref="O19:R19"/>
    <mergeCell ref="H14:R14"/>
    <mergeCell ref="H15:R15"/>
    <mergeCell ref="K18:R18"/>
  </mergeCells>
  <pageMargins left="0.45" right="0.45" top="0.75" bottom="0.75" header="0.3" footer="0.3"/>
  <pageSetup scale="6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695BF-5135-41F4-B48C-7E1DE1EFF693}">
  <sheetPr>
    <tabColor theme="8" tint="0.39997558519241921"/>
  </sheetPr>
  <dimension ref="A1"/>
  <sheetViews>
    <sheetView topLeftCell="A12" workbookViewId="0">
      <selection activeCell="R21" sqref="R21"/>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918F-3F38-4D72-9AD1-5F8369366199}">
  <sheetPr>
    <pageSetUpPr fitToPage="1"/>
  </sheetPr>
  <dimension ref="A1:I55"/>
  <sheetViews>
    <sheetView tabSelected="1" topLeftCell="A37" workbookViewId="0">
      <selection activeCell="A11" sqref="A11"/>
    </sheetView>
  </sheetViews>
  <sheetFormatPr defaultColWidth="0" defaultRowHeight="14.5" x14ac:dyDescent="0.35"/>
  <cols>
    <col min="1" max="1" width="10.54296875" style="20" bestFit="1" customWidth="1"/>
    <col min="2" max="2" width="11.26953125" style="20" bestFit="1" customWidth="1"/>
    <col min="3" max="3" width="23.54296875" style="20" customWidth="1"/>
    <col min="4" max="4" width="17" style="20" customWidth="1"/>
    <col min="5" max="5" width="19.7265625" style="20" customWidth="1"/>
    <col min="6" max="6" width="44.26953125" style="20" customWidth="1"/>
    <col min="7" max="7" width="16.7265625" style="20" customWidth="1"/>
    <col min="8" max="8" width="20.1796875" style="20" bestFit="1" customWidth="1"/>
    <col min="9" max="9" width="9.1796875" style="20" customWidth="1"/>
    <col min="10" max="16384" width="9.1796875" style="20" hidden="1"/>
  </cols>
  <sheetData>
    <row r="1" spans="1:9" ht="15.5" x14ac:dyDescent="0.35">
      <c r="A1" s="65" t="s">
        <v>64</v>
      </c>
      <c r="B1" s="66"/>
      <c r="C1" s="66"/>
      <c r="D1" s="66"/>
      <c r="E1" s="66"/>
      <c r="F1" s="66"/>
      <c r="G1" s="66"/>
      <c r="H1" s="66"/>
      <c r="I1" s="67"/>
    </row>
    <row r="2" spans="1:9" ht="15.5" x14ac:dyDescent="0.35">
      <c r="A2" s="93" t="s">
        <v>70</v>
      </c>
      <c r="B2" s="71"/>
      <c r="C2" s="72"/>
      <c r="D2" s="72"/>
      <c r="E2" s="72"/>
      <c r="F2" s="48"/>
      <c r="G2" s="48"/>
      <c r="H2" s="48"/>
      <c r="I2" s="50"/>
    </row>
    <row r="3" spans="1:9" ht="15.5" x14ac:dyDescent="0.35">
      <c r="A3" s="93" t="s">
        <v>71</v>
      </c>
      <c r="B3" s="71"/>
      <c r="C3" s="72"/>
      <c r="D3" s="72"/>
      <c r="E3" s="72"/>
      <c r="F3" s="48"/>
      <c r="G3" s="48"/>
      <c r="H3" s="48"/>
      <c r="I3" s="50"/>
    </row>
    <row r="4" spans="1:9" ht="15.5" x14ac:dyDescent="0.35">
      <c r="A4" s="93" t="s">
        <v>84</v>
      </c>
      <c r="B4" s="71"/>
      <c r="C4" s="72"/>
      <c r="D4" s="72"/>
      <c r="E4" s="72"/>
      <c r="F4" s="105"/>
      <c r="G4" s="48"/>
      <c r="H4" s="48"/>
      <c r="I4" s="50"/>
    </row>
    <row r="5" spans="1:9" ht="15.5" x14ac:dyDescent="0.35">
      <c r="A5" s="87"/>
      <c r="B5" s="73"/>
      <c r="C5" s="73"/>
      <c r="D5" s="73"/>
      <c r="E5" s="73"/>
      <c r="F5" s="48"/>
      <c r="G5" s="48"/>
      <c r="H5" s="48"/>
      <c r="I5" s="50"/>
    </row>
    <row r="6" spans="1:9" ht="15.5" x14ac:dyDescent="0.35">
      <c r="A6" s="94" t="s">
        <v>72</v>
      </c>
      <c r="B6" s="71"/>
      <c r="C6" s="72"/>
      <c r="D6" s="72"/>
      <c r="E6" s="72"/>
      <c r="F6" s="77"/>
      <c r="G6" s="68"/>
      <c r="H6" s="68"/>
      <c r="I6" s="69"/>
    </row>
    <row r="7" spans="1:9" ht="15.5" x14ac:dyDescent="0.35">
      <c r="A7" s="95"/>
      <c r="B7" s="71"/>
      <c r="C7" s="71"/>
      <c r="D7" s="74"/>
      <c r="E7" s="74"/>
      <c r="F7" s="48"/>
      <c r="G7" s="41"/>
      <c r="H7" s="48"/>
      <c r="I7" s="50"/>
    </row>
    <row r="8" spans="1:9" ht="15.5" x14ac:dyDescent="0.35">
      <c r="A8" s="96" t="s">
        <v>73</v>
      </c>
      <c r="B8" s="71"/>
      <c r="C8" s="71"/>
      <c r="D8" s="75"/>
      <c r="E8" s="75"/>
      <c r="F8" s="48"/>
      <c r="G8" s="48"/>
      <c r="H8" s="48"/>
      <c r="I8" s="50"/>
    </row>
    <row r="9" spans="1:9" ht="15.5" x14ac:dyDescent="0.35">
      <c r="A9" s="96" t="s">
        <v>222</v>
      </c>
      <c r="B9" s="76"/>
      <c r="C9" s="76"/>
      <c r="D9" s="76"/>
      <c r="E9" s="76"/>
      <c r="F9" s="51"/>
      <c r="G9" s="51"/>
      <c r="H9" s="51"/>
      <c r="I9" s="61"/>
    </row>
    <row r="10" spans="1:9" ht="15.5" x14ac:dyDescent="0.35">
      <c r="A10" s="96" t="s">
        <v>223</v>
      </c>
      <c r="B10" s="76"/>
      <c r="C10" s="76"/>
      <c r="D10" s="76"/>
      <c r="E10" s="76"/>
      <c r="F10" s="51"/>
      <c r="G10" s="51"/>
      <c r="H10" s="51"/>
      <c r="I10" s="61"/>
    </row>
    <row r="11" spans="1:9" ht="15.5" x14ac:dyDescent="0.35">
      <c r="A11" s="49"/>
      <c r="B11" s="51"/>
      <c r="C11" s="51"/>
      <c r="D11" s="51"/>
      <c r="E11" s="51"/>
      <c r="F11" s="51"/>
      <c r="G11" s="51"/>
      <c r="H11" s="51"/>
      <c r="I11" s="61"/>
    </row>
    <row r="12" spans="1:9" ht="15.5" x14ac:dyDescent="0.35">
      <c r="A12" s="395" t="s">
        <v>65</v>
      </c>
      <c r="B12" s="450"/>
      <c r="C12" s="450"/>
      <c r="D12" s="450"/>
      <c r="E12" s="450"/>
      <c r="F12" s="450"/>
      <c r="G12" s="450"/>
      <c r="H12" s="450"/>
      <c r="I12" s="397"/>
    </row>
    <row r="13" spans="1:9" ht="15.5" x14ac:dyDescent="0.35">
      <c r="A13" s="104"/>
      <c r="B13" s="104"/>
      <c r="C13" s="104"/>
      <c r="D13" s="104"/>
      <c r="E13" s="104"/>
      <c r="F13" s="104"/>
      <c r="G13" s="104"/>
      <c r="H13" s="104"/>
      <c r="I13" s="104"/>
    </row>
    <row r="14" spans="1:9" ht="15.5" x14ac:dyDescent="0.35">
      <c r="A14" s="104"/>
      <c r="B14" s="104"/>
      <c r="C14" s="104"/>
      <c r="D14" s="104"/>
      <c r="E14" s="104"/>
      <c r="F14" s="104"/>
      <c r="G14" s="104"/>
      <c r="H14" s="104"/>
      <c r="I14" s="104"/>
    </row>
    <row r="16" spans="1:9" ht="18.5" x14ac:dyDescent="0.35">
      <c r="B16" s="6"/>
      <c r="C16" s="7" t="s">
        <v>19</v>
      </c>
      <c r="D16" s="7"/>
      <c r="E16" s="7"/>
      <c r="F16" s="6"/>
      <c r="G16" s="6"/>
      <c r="H16" s="6"/>
    </row>
    <row r="18" spans="2:8" ht="36" x14ac:dyDescent="0.35">
      <c r="C18" s="21" t="s">
        <v>0</v>
      </c>
      <c r="D18" s="21"/>
      <c r="E18" s="22"/>
      <c r="F18" s="22"/>
      <c r="G18" s="23"/>
      <c r="H18" s="24" t="s">
        <v>1</v>
      </c>
    </row>
    <row r="19" spans="2:8" ht="26" x14ac:dyDescent="0.35">
      <c r="C19" s="25" t="s">
        <v>2</v>
      </c>
      <c r="D19" s="25"/>
      <c r="E19" s="22"/>
      <c r="F19" s="22"/>
      <c r="G19" s="26"/>
      <c r="H19" s="27"/>
    </row>
    <row r="20" spans="2:8" x14ac:dyDescent="0.35">
      <c r="E20" s="22"/>
      <c r="F20" s="22"/>
      <c r="G20" s="26"/>
      <c r="H20" s="26"/>
    </row>
    <row r="21" spans="2:8" x14ac:dyDescent="0.35">
      <c r="B21" s="28"/>
      <c r="E21" s="22"/>
      <c r="F21" s="22"/>
      <c r="G21" s="22"/>
      <c r="H21" s="22"/>
    </row>
    <row r="22" spans="2:8" x14ac:dyDescent="0.35">
      <c r="B22" s="28"/>
      <c r="C22" s="28"/>
      <c r="D22" s="28"/>
      <c r="E22" s="22"/>
      <c r="F22" s="22"/>
      <c r="G22" s="22"/>
      <c r="H22" s="22"/>
    </row>
    <row r="23" spans="2:8" x14ac:dyDescent="0.35">
      <c r="B23" s="22"/>
      <c r="C23" s="28"/>
      <c r="D23" s="28"/>
      <c r="E23" s="22"/>
      <c r="F23" s="22"/>
      <c r="G23" s="22"/>
      <c r="H23" s="22"/>
    </row>
    <row r="24" spans="2:8" ht="15.5" x14ac:dyDescent="0.35">
      <c r="B24" s="29"/>
      <c r="C24" s="30" t="s">
        <v>141</v>
      </c>
      <c r="D24" s="30"/>
      <c r="E24" s="22"/>
      <c r="F24" s="22"/>
      <c r="G24" s="31" t="s">
        <v>3</v>
      </c>
      <c r="H24" s="8"/>
    </row>
    <row r="25" spans="2:8" ht="15.5" x14ac:dyDescent="0.35">
      <c r="B25" s="32"/>
      <c r="C25" s="33" t="s">
        <v>142</v>
      </c>
      <c r="D25" s="33"/>
      <c r="E25" s="22"/>
      <c r="F25" s="22"/>
      <c r="G25" s="31" t="s">
        <v>4</v>
      </c>
      <c r="H25" s="9"/>
    </row>
    <row r="26" spans="2:8" ht="15.5" x14ac:dyDescent="0.35">
      <c r="B26" s="32"/>
      <c r="C26" s="33" t="s">
        <v>143</v>
      </c>
      <c r="D26" s="33"/>
      <c r="E26" s="22"/>
      <c r="F26" s="33"/>
      <c r="G26" s="31" t="s">
        <v>5</v>
      </c>
      <c r="H26" s="10" t="s">
        <v>122</v>
      </c>
    </row>
    <row r="27" spans="2:8" ht="15.75" customHeight="1" x14ac:dyDescent="0.35">
      <c r="B27" s="22"/>
      <c r="C27" s="33" t="s">
        <v>158</v>
      </c>
      <c r="D27" s="33"/>
      <c r="G27" s="31" t="s">
        <v>6</v>
      </c>
      <c r="H27" s="10"/>
    </row>
    <row r="28" spans="2:8" ht="15.75" customHeight="1" x14ac:dyDescent="0.35">
      <c r="B28" s="34"/>
      <c r="C28" s="33" t="s">
        <v>7</v>
      </c>
      <c r="D28" s="33"/>
      <c r="F28" s="32"/>
      <c r="G28" s="31" t="s">
        <v>8</v>
      </c>
      <c r="H28" s="10"/>
    </row>
    <row r="29" spans="2:8" ht="15.5" x14ac:dyDescent="0.35">
      <c r="B29" s="35"/>
      <c r="C29" s="33" t="s">
        <v>144</v>
      </c>
      <c r="D29" s="33"/>
      <c r="E29" s="32"/>
      <c r="F29" s="32"/>
      <c r="G29" s="22"/>
      <c r="H29" s="22"/>
    </row>
    <row r="30" spans="2:8" x14ac:dyDescent="0.35">
      <c r="B30" s="35"/>
      <c r="C30" s="33"/>
      <c r="D30" s="22"/>
      <c r="E30" s="22"/>
      <c r="F30" s="22"/>
      <c r="G30" s="22"/>
      <c r="H30" s="22"/>
    </row>
    <row r="31" spans="2:8" x14ac:dyDescent="0.35">
      <c r="B31" s="1" t="s">
        <v>9</v>
      </c>
      <c r="C31" s="1" t="s">
        <v>10</v>
      </c>
      <c r="D31" s="1" t="s">
        <v>11</v>
      </c>
      <c r="E31" s="1" t="s">
        <v>12</v>
      </c>
      <c r="F31" s="1" t="s">
        <v>13</v>
      </c>
      <c r="G31" s="1" t="s">
        <v>14</v>
      </c>
      <c r="H31" s="1" t="s">
        <v>15</v>
      </c>
    </row>
    <row r="32" spans="2:8" x14ac:dyDescent="0.35">
      <c r="B32" s="11">
        <v>1</v>
      </c>
      <c r="C32" s="11"/>
      <c r="D32" s="11"/>
      <c r="E32" s="12"/>
      <c r="F32" s="12"/>
      <c r="G32" s="13">
        <v>0</v>
      </c>
      <c r="H32" s="13">
        <v>0</v>
      </c>
    </row>
    <row r="33" spans="2:8" x14ac:dyDescent="0.35">
      <c r="B33" s="11">
        <v>2</v>
      </c>
      <c r="C33" s="11"/>
      <c r="D33" s="11"/>
      <c r="E33" s="12" t="s">
        <v>16</v>
      </c>
      <c r="F33" s="12" t="s">
        <v>16</v>
      </c>
      <c r="G33" s="13">
        <v>0</v>
      </c>
      <c r="H33" s="13">
        <v>0</v>
      </c>
    </row>
    <row r="34" spans="2:8" x14ac:dyDescent="0.35">
      <c r="B34" s="11">
        <v>3</v>
      </c>
      <c r="C34" s="11"/>
      <c r="D34" s="11"/>
      <c r="E34" s="12" t="s">
        <v>16</v>
      </c>
      <c r="F34" s="12" t="s">
        <v>16</v>
      </c>
      <c r="G34" s="13">
        <v>0</v>
      </c>
      <c r="H34" s="13">
        <v>0</v>
      </c>
    </row>
    <row r="35" spans="2:8" x14ac:dyDescent="0.35">
      <c r="B35" s="11">
        <v>4</v>
      </c>
      <c r="C35" s="11"/>
      <c r="D35" s="11"/>
      <c r="E35" s="12" t="s">
        <v>16</v>
      </c>
      <c r="F35" s="12" t="s">
        <v>16</v>
      </c>
      <c r="G35" s="13">
        <v>0</v>
      </c>
      <c r="H35" s="13">
        <v>0</v>
      </c>
    </row>
    <row r="36" spans="2:8" x14ac:dyDescent="0.35">
      <c r="B36" s="11">
        <v>5</v>
      </c>
      <c r="C36" s="11"/>
      <c r="D36" s="11"/>
      <c r="E36" s="12" t="s">
        <v>16</v>
      </c>
      <c r="F36" s="12" t="s">
        <v>16</v>
      </c>
      <c r="G36" s="13">
        <v>0</v>
      </c>
      <c r="H36" s="13">
        <v>0</v>
      </c>
    </row>
    <row r="37" spans="2:8" x14ac:dyDescent="0.35">
      <c r="B37" s="11">
        <v>6</v>
      </c>
      <c r="C37" s="11"/>
      <c r="D37" s="11"/>
      <c r="E37" s="12" t="s">
        <v>16</v>
      </c>
      <c r="F37" s="12" t="s">
        <v>16</v>
      </c>
      <c r="G37" s="13">
        <v>0</v>
      </c>
      <c r="H37" s="13">
        <v>0</v>
      </c>
    </row>
    <row r="38" spans="2:8" x14ac:dyDescent="0.35">
      <c r="B38" s="11">
        <v>7</v>
      </c>
      <c r="C38" s="11"/>
      <c r="D38" s="11"/>
      <c r="E38" s="12" t="s">
        <v>16</v>
      </c>
      <c r="F38" s="12" t="s">
        <v>16</v>
      </c>
      <c r="G38" s="13">
        <v>0</v>
      </c>
      <c r="H38" s="13">
        <v>0</v>
      </c>
    </row>
    <row r="39" spans="2:8" x14ac:dyDescent="0.35">
      <c r="B39" s="11">
        <v>8</v>
      </c>
      <c r="C39" s="11"/>
      <c r="D39" s="11"/>
      <c r="E39" s="12" t="s">
        <v>16</v>
      </c>
      <c r="F39" s="12" t="s">
        <v>16</v>
      </c>
      <c r="G39" s="13">
        <v>0</v>
      </c>
      <c r="H39" s="13">
        <v>0</v>
      </c>
    </row>
    <row r="40" spans="2:8" x14ac:dyDescent="0.35">
      <c r="B40" s="11">
        <v>9</v>
      </c>
      <c r="C40" s="11"/>
      <c r="D40" s="11"/>
      <c r="E40" s="12" t="s">
        <v>16</v>
      </c>
      <c r="F40" s="12" t="s">
        <v>16</v>
      </c>
      <c r="G40" s="13">
        <v>0</v>
      </c>
      <c r="H40" s="13">
        <v>0</v>
      </c>
    </row>
    <row r="41" spans="2:8" x14ac:dyDescent="0.35">
      <c r="B41" s="11">
        <v>10</v>
      </c>
      <c r="C41" s="11"/>
      <c r="D41" s="11"/>
      <c r="E41" s="12" t="s">
        <v>16</v>
      </c>
      <c r="F41" s="12" t="s">
        <v>16</v>
      </c>
      <c r="G41" s="13">
        <v>0</v>
      </c>
      <c r="H41" s="13">
        <v>0</v>
      </c>
    </row>
    <row r="42" spans="2:8" x14ac:dyDescent="0.35">
      <c r="B42" s="11">
        <v>11</v>
      </c>
      <c r="C42" s="11"/>
      <c r="D42" s="11"/>
      <c r="E42" s="12" t="s">
        <v>16</v>
      </c>
      <c r="F42" s="12" t="s">
        <v>16</v>
      </c>
      <c r="G42" s="13">
        <v>0</v>
      </c>
      <c r="H42" s="13">
        <v>0</v>
      </c>
    </row>
    <row r="43" spans="2:8" x14ac:dyDescent="0.35">
      <c r="B43" s="11">
        <v>12</v>
      </c>
      <c r="C43" s="11"/>
      <c r="D43" s="11"/>
      <c r="E43" s="12" t="s">
        <v>16</v>
      </c>
      <c r="F43" s="12" t="s">
        <v>16</v>
      </c>
      <c r="G43" s="13">
        <v>0</v>
      </c>
      <c r="H43" s="13">
        <v>0</v>
      </c>
    </row>
    <row r="44" spans="2:8" x14ac:dyDescent="0.35">
      <c r="B44" s="11">
        <v>13</v>
      </c>
      <c r="C44" s="11"/>
      <c r="D44" s="11"/>
      <c r="E44" s="12" t="s">
        <v>16</v>
      </c>
      <c r="F44" s="12" t="s">
        <v>16</v>
      </c>
      <c r="G44" s="13">
        <v>0</v>
      </c>
      <c r="H44" s="13">
        <v>0</v>
      </c>
    </row>
    <row r="45" spans="2:8" x14ac:dyDescent="0.35">
      <c r="B45" s="11">
        <v>14</v>
      </c>
      <c r="C45" s="11"/>
      <c r="D45" s="11"/>
      <c r="E45" s="12" t="s">
        <v>16</v>
      </c>
      <c r="F45" s="12" t="s">
        <v>16</v>
      </c>
      <c r="G45" s="13">
        <v>0</v>
      </c>
      <c r="H45" s="13">
        <v>0</v>
      </c>
    </row>
    <row r="46" spans="2:8" x14ac:dyDescent="0.35">
      <c r="B46" s="11">
        <v>15</v>
      </c>
      <c r="C46" s="11"/>
      <c r="D46" s="11"/>
      <c r="E46" s="12" t="s">
        <v>16</v>
      </c>
      <c r="F46" s="12" t="s">
        <v>16</v>
      </c>
      <c r="G46" s="13">
        <v>0</v>
      </c>
      <c r="H46" s="13">
        <v>0</v>
      </c>
    </row>
    <row r="47" spans="2:8" x14ac:dyDescent="0.35">
      <c r="B47" s="11">
        <v>16</v>
      </c>
      <c r="C47" s="11"/>
      <c r="D47" s="11"/>
      <c r="E47" s="12" t="s">
        <v>16</v>
      </c>
      <c r="F47" s="12" t="s">
        <v>16</v>
      </c>
      <c r="G47" s="13">
        <v>0</v>
      </c>
      <c r="H47" s="13">
        <v>0</v>
      </c>
    </row>
    <row r="48" spans="2:8" x14ac:dyDescent="0.35">
      <c r="B48" s="11">
        <v>17</v>
      </c>
      <c r="C48" s="11"/>
      <c r="D48" s="11"/>
      <c r="E48" s="12" t="s">
        <v>16</v>
      </c>
      <c r="F48" s="12" t="s">
        <v>16</v>
      </c>
      <c r="G48" s="13">
        <v>0</v>
      </c>
      <c r="H48" s="13">
        <v>0</v>
      </c>
    </row>
    <row r="49" spans="2:8" x14ac:dyDescent="0.35">
      <c r="B49" s="11">
        <v>18</v>
      </c>
      <c r="C49" s="11"/>
      <c r="D49" s="11"/>
      <c r="E49" s="12" t="s">
        <v>16</v>
      </c>
      <c r="F49" s="12" t="s">
        <v>16</v>
      </c>
      <c r="G49" s="13">
        <v>0</v>
      </c>
      <c r="H49" s="13">
        <v>0</v>
      </c>
    </row>
    <row r="50" spans="2:8" x14ac:dyDescent="0.35">
      <c r="B50" s="11">
        <v>19</v>
      </c>
      <c r="C50" s="11"/>
      <c r="D50" s="11"/>
      <c r="E50" s="12" t="s">
        <v>16</v>
      </c>
      <c r="F50" s="12" t="s">
        <v>16</v>
      </c>
      <c r="G50" s="13">
        <v>0</v>
      </c>
      <c r="H50" s="13">
        <v>0</v>
      </c>
    </row>
    <row r="51" spans="2:8" x14ac:dyDescent="0.35">
      <c r="B51" s="11">
        <v>20</v>
      </c>
      <c r="C51" s="11"/>
      <c r="D51" s="11"/>
      <c r="E51" s="12" t="s">
        <v>16</v>
      </c>
      <c r="F51" s="12" t="s">
        <v>16</v>
      </c>
      <c r="G51" s="13">
        <v>0</v>
      </c>
      <c r="H51" s="13">
        <v>0</v>
      </c>
    </row>
    <row r="52" spans="2:8" ht="15" thickBot="1" x14ac:dyDescent="0.4">
      <c r="B52" s="35"/>
      <c r="C52" s="14">
        <v>0</v>
      </c>
      <c r="D52" s="14">
        <v>0</v>
      </c>
      <c r="E52" s="15"/>
      <c r="F52" s="15"/>
      <c r="G52" s="15"/>
      <c r="H52" s="16">
        <v>0</v>
      </c>
    </row>
    <row r="53" spans="2:8" x14ac:dyDescent="0.35">
      <c r="B53" s="35"/>
      <c r="E53" s="36"/>
      <c r="F53" s="36"/>
      <c r="H53" s="17" t="s">
        <v>17</v>
      </c>
    </row>
    <row r="54" spans="2:8" x14ac:dyDescent="0.35">
      <c r="B54" s="35"/>
      <c r="H54" s="18" t="s">
        <v>18</v>
      </c>
    </row>
    <row r="55" spans="2:8" ht="18.5" x14ac:dyDescent="0.35">
      <c r="B55" s="35"/>
      <c r="H55" s="19">
        <v>0</v>
      </c>
    </row>
  </sheetData>
  <mergeCells count="1">
    <mergeCell ref="A12:I12"/>
  </mergeCells>
  <pageMargins left="0.45" right="0.45" top="0.75" bottom="0.75" header="0.3" footer="0.3"/>
  <pageSetup scale="5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98a1720-d7c1-4708-bf16-69a41d4fc1d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87ED67475C42B4094B6860098319B87" ma:contentTypeVersion="12" ma:contentTypeDescription="Create a new document." ma:contentTypeScope="" ma:versionID="9a76864c629ffd058a6799ad7f7accd0">
  <xsd:schema xmlns:xsd="http://www.w3.org/2001/XMLSchema" xmlns:xs="http://www.w3.org/2001/XMLSchema" xmlns:p="http://schemas.microsoft.com/office/2006/metadata/properties" xmlns:ns3="598a1720-d7c1-4708-bf16-69a41d4fc1d2" xmlns:ns4="8bec3b2c-a67c-4c84-8a58-e1deb6a6bbf2" targetNamespace="http://schemas.microsoft.com/office/2006/metadata/properties" ma:root="true" ma:fieldsID="8a6625b87a9ec748d8665d6019ebb6ce" ns3:_="" ns4:_="">
    <xsd:import namespace="598a1720-d7c1-4708-bf16-69a41d4fc1d2"/>
    <xsd:import namespace="8bec3b2c-a67c-4c84-8a58-e1deb6a6bbf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8a1720-d7c1-4708-bf16-69a41d4fc1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ec3b2c-a67c-4c84-8a58-e1deb6a6bbf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4A319-324E-4085-A7F4-AAA504514AA3}">
  <ds:schemaRefs>
    <ds:schemaRef ds:uri="http://schemas.microsoft.com/office/2006/metadata/properties"/>
    <ds:schemaRef ds:uri="http://purl.org/dc/elements/1.1/"/>
    <ds:schemaRef ds:uri="http://purl.org/dc/dcmitype/"/>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8bec3b2c-a67c-4c84-8a58-e1deb6a6bbf2"/>
    <ds:schemaRef ds:uri="598a1720-d7c1-4708-bf16-69a41d4fc1d2"/>
  </ds:schemaRefs>
</ds:datastoreItem>
</file>

<file path=customXml/itemProps2.xml><?xml version="1.0" encoding="utf-8"?>
<ds:datastoreItem xmlns:ds="http://schemas.openxmlformats.org/officeDocument/2006/customXml" ds:itemID="{279B86BE-97E2-4B4E-BF64-D9085CBB24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8a1720-d7c1-4708-bf16-69a41d4fc1d2"/>
    <ds:schemaRef ds:uri="8bec3b2c-a67c-4c84-8a58-e1deb6a6bb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6F8DD6-960C-4AC1-B83F-92E8E7630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PO</vt:lpstr>
      <vt:lpstr>CS Allocation</vt:lpstr>
      <vt:lpstr>PO Compliance</vt:lpstr>
      <vt:lpstr>Ticketing Instructions</vt:lpstr>
      <vt:lpstr>MEGA Logistics Instructions</vt:lpstr>
      <vt:lpstr>Ship to Store List</vt:lpstr>
      <vt:lpstr>Routing Template</vt:lpstr>
      <vt:lpstr>Example Parcel Label</vt:lpstr>
      <vt:lpstr>MerchandisingInvoicing+Example</vt:lpstr>
      <vt:lpstr>'MEGA Logistics Instructions'!Print_Area</vt:lpstr>
      <vt:lpstr>'Ticketing Instructions'!Print_Area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ktiede3262</dc:creator>
  <cp:lastModifiedBy>Karina Zelaya</cp:lastModifiedBy>
  <cp:lastPrinted>2025-08-08T21:08:52Z</cp:lastPrinted>
  <dcterms:created xsi:type="dcterms:W3CDTF">2021-03-14T13:07:20Z</dcterms:created>
  <dcterms:modified xsi:type="dcterms:W3CDTF">2026-06-10T16:06:46Z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0x010100587ED67475C42B4094B6860098319B87</vt:lpwstr>
  </property>
</Properties>
</file>