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26" documentId="8_{0EBB2938-9D16-473B-B306-699D55C5D276}" xr6:coauthVersionLast="47" xr6:coauthVersionMax="47" xr10:uidLastSave="{F1079747-DE23-4F44-A315-0A7A140BA53E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<sst xmlns="http://schemas.openxmlformats.org/spreadsheetml/2006/main" count="78" uniqueCount="58">
  <si>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</si>
  <si>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</si>
  <si>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</si>
  <si>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</si>
  <si>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</si>
  <si>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</si>
  <si>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</si>
  <si>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</si>
  <si>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</si>
  <si>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</si>
  <si>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</si>
  <si>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</si>
  <si>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</si>
  <si>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</si>
  <si>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</si>
  <si>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</si>
  <si>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</si>
  <si>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</si>
  <si>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</si>
  <si>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</si>
  <si>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</si>
  <si>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</si>
  <si>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</si>
  <si>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</si>
  <si>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</si>
  <si>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</si>
  <si>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</si>
  <si>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</si>
  <si>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</si>
  <si>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</si>
  <si>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</si>
  <si>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</si>
  <si>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</si>
  <si>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</si>
  <si>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</si>
  <si>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</si>
  <si>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</si>
  <si>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</si>
  <si>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</si>
  <si>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</si>
  <si>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</si>
  <si>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</si>
  <si>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</si>
  <si>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</si>
  <si>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</si>
  <si>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</si>
  <si>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WMH3274E-42</t>
  </si>
  <si>
    <t>1BN</t>
  </si>
  <si>
    <t>WMH3291K-42</t>
  </si>
  <si>
    <t>003</t>
  </si>
  <si>
    <t>WMH3274E-42-1BN</t>
  </si>
  <si>
    <t>WMH3291K-42-003</t>
  </si>
  <si>
    <t>1877975</t>
  </si>
  <si>
    <t>1877976</t>
  </si>
  <si>
    <t>ORGANIZER ITEM</t>
  </si>
  <si>
    <t>Black</t>
  </si>
  <si>
    <t>Tote</t>
  </si>
  <si>
    <t>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</si>
</sst>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1" fillId="6" borderId="17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E28" sqref="E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3" t="s">
        <v>33</v>
      </c>
      <c r="D7" s="84"/>
      <c r="E7" s="67" t="s">
        <v>42</v>
      </c>
      <c r="F7" s="72" t="s">
        <v>39</v>
      </c>
      <c r="G7" s="72"/>
      <c r="H7" s="72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9"/>
      <c r="B19" s="85" t="s">
        <v>14</v>
      </c>
      <c r="C19" s="85" t="s">
        <v>20</v>
      </c>
      <c r="D19" s="85" t="s">
        <v>15</v>
      </c>
      <c r="E19" s="85" t="s">
        <v>21</v>
      </c>
      <c r="F19" s="85" t="s">
        <v>17</v>
      </c>
      <c r="G19" s="85" t="s">
        <v>18</v>
      </c>
      <c r="H19" s="85" t="s">
        <v>34</v>
      </c>
      <c r="I19" s="85" t="s">
        <v>16</v>
      </c>
      <c r="J19" s="85" t="s">
        <v>35</v>
      </c>
      <c r="K19" s="85" t="s">
        <v>36</v>
      </c>
      <c r="L19" s="85" t="s">
        <v>40</v>
      </c>
      <c r="M19" s="85" t="s">
        <v>41</v>
      </c>
      <c r="N19" s="63" t="s">
        <v>22</v>
      </c>
    </row>
    <row r="20" spans="1:14" ht="13" x14ac:dyDescent="0.25">
      <c r="A20" s="70">
        <v>1</v>
      </c>
      <c r="B20" s="54" t="s">
        <v>46</v>
      </c>
      <c r="C20" s="54" t="s">
        <v>47</v>
      </c>
      <c r="D20" s="54" t="str">
        <f t="shared" ref="D20:D22" si="0">B20&amp;"-"&amp;C20</f>
        <v>WMH3274E-42-1BN</v>
      </c>
      <c r="E20" s="54" t="s">
        <v>50</v>
      </c>
      <c r="F20" s="50" t="s">
        <v>57</v>
      </c>
      <c r="G20" s="50" t="s">
        <v>56</v>
      </c>
      <c r="H20" s="50">
        <v>99580997</v>
      </c>
      <c r="I20" s="54">
        <v>166</v>
      </c>
      <c r="J20" s="54">
        <v>1753702</v>
      </c>
      <c r="K20" s="54" t="s">
        <v>52</v>
      </c>
      <c r="L20" s="50"/>
      <c r="M20" s="86"/>
      <c r="N20" s="87"/>
    </row>
    <row r="21" spans="1:14" ht="13" x14ac:dyDescent="0.25">
      <c r="A21" s="70">
        <v>2</v>
      </c>
      <c r="B21" s="54" t="s">
        <v>48</v>
      </c>
      <c r="C21" s="54" t="s">
        <v>49</v>
      </c>
      <c r="D21" s="54" t="str">
        <f t="shared" si="0"/>
        <v>WMH3291K-42-003</v>
      </c>
      <c r="E21" s="54" t="s">
        <v>51</v>
      </c>
      <c r="F21" s="50" t="s">
        <v>55</v>
      </c>
      <c r="G21" s="50" t="s">
        <v>54</v>
      </c>
      <c r="H21" s="50">
        <v>99580985</v>
      </c>
      <c r="I21" s="54">
        <v>531</v>
      </c>
      <c r="J21" s="54">
        <v>1753702</v>
      </c>
      <c r="K21" s="54" t="s">
        <v>52</v>
      </c>
      <c r="L21" s="50"/>
      <c r="M21" s="86"/>
      <c r="N21" s="87"/>
    </row>
    <row r="22" spans="1:14" ht="13" x14ac:dyDescent="0.25">
      <c r="A22" s="70">
        <v>3</v>
      </c>
      <c r="B22" s="54" t="s">
        <v>46</v>
      </c>
      <c r="C22" s="54" t="s">
        <v>47</v>
      </c>
      <c r="D22" s="54" t="str">
        <f t="shared" si="0"/>
        <v>WMH3274E-42-1BN</v>
      </c>
      <c r="E22" s="54" t="s">
        <v>50</v>
      </c>
      <c r="F22" s="50" t="s">
        <v>57</v>
      </c>
      <c r="G22" s="50" t="s">
        <v>56</v>
      </c>
      <c r="H22" s="50">
        <v>99580997</v>
      </c>
      <c r="I22" s="54">
        <v>77</v>
      </c>
      <c r="J22" s="54">
        <v>1753703</v>
      </c>
      <c r="K22" s="54" t="s">
        <v>53</v>
      </c>
      <c r="L22" s="50"/>
      <c r="M22" s="86"/>
      <c r="N22" s="87"/>
    </row>
    <row r="23" spans="1:14" ht="13" x14ac:dyDescent="0.25">
      <c r="A23" s="70">
        <v>4</v>
      </c>
      <c r="B23" s="54" t="s">
        <v>48</v>
      </c>
      <c r="C23" s="54" t="s">
        <v>49</v>
      </c>
      <c r="D23" s="54" t="str">
        <f>B23&amp;"-"&amp;C23</f>
        <v>WMH3291K-42-003</v>
      </c>
      <c r="E23" s="54" t="s">
        <v>51</v>
      </c>
      <c r="F23" s="50" t="s">
        <v>55</v>
      </c>
      <c r="G23" s="50" t="s">
        <v>54</v>
      </c>
      <c r="H23" s="50">
        <v>99580985</v>
      </c>
      <c r="I23" s="54">
        <v>229</v>
      </c>
      <c r="J23" s="54">
        <v>1753703</v>
      </c>
      <c r="K23" s="54" t="s">
        <v>53</v>
      </c>
      <c r="L23" s="50"/>
      <c r="M23" s="86"/>
      <c r="N23" s="87"/>
    </row>
    <row r="24" spans="1:14" ht="13" x14ac:dyDescent="0.25">
      <c r="A24" s="70">
        <v>5</v>
      </c>
      <c r="B24" s="54"/>
      <c r="C24" s="54"/>
      <c r="D24" s="54"/>
      <c r="E24" s="54"/>
      <c r="F24" s="50"/>
      <c r="G24" s="54"/>
      <c r="H24" s="79"/>
      <c r="I24" s="54"/>
      <c r="J24" s="54"/>
      <c r="K24" s="54"/>
      <c r="L24" s="50"/>
      <c r="M24" s="86"/>
      <c r="N24" s="87"/>
    </row>
    <row r="25" spans="1:14" ht="13" x14ac:dyDescent="0.25">
      <c r="A25" s="70">
        <v>6</v>
      </c>
      <c r="B25" s="54"/>
      <c r="C25" s="54"/>
      <c r="D25" s="54"/>
      <c r="E25" s="54"/>
      <c r="F25" s="50"/>
      <c r="G25" s="54"/>
      <c r="H25" s="79"/>
      <c r="I25" s="54"/>
      <c r="J25" s="54"/>
      <c r="K25" s="54"/>
      <c r="L25" s="50"/>
      <c r="M25" s="86"/>
      <c r="N25" s="87"/>
    </row>
    <row r="26" spans="1:14" ht="13" x14ac:dyDescent="0.25">
      <c r="A26" s="70">
        <v>7</v>
      </c>
      <c r="B26" s="54"/>
      <c r="C26" s="54"/>
      <c r="D26" s="50"/>
      <c r="E26" s="54"/>
      <c r="F26" s="50"/>
      <c r="G26" s="54"/>
      <c r="H26" s="79"/>
      <c r="I26" s="54"/>
      <c r="J26" s="54"/>
      <c r="K26" s="54"/>
      <c r="L26" s="50"/>
      <c r="M26" s="86"/>
      <c r="N26" s="87"/>
    </row>
    <row r="27" spans="1:14" ht="13" x14ac:dyDescent="0.25">
      <c r="A27" s="70">
        <v>8</v>
      </c>
      <c r="B27" s="74"/>
      <c r="C27" s="74"/>
      <c r="D27" s="75"/>
      <c r="E27" s="74"/>
      <c r="F27" s="75"/>
      <c r="G27" s="74"/>
      <c r="H27" s="79"/>
      <c r="I27" s="74"/>
      <c r="J27" s="74"/>
      <c r="K27" s="74"/>
      <c r="L27" s="75"/>
      <c r="M27" s="78"/>
      <c r="N27" s="71"/>
    </row>
    <row r="28" spans="1:14" ht="13" x14ac:dyDescent="0.25">
      <c r="A28" s="70">
        <v>9</v>
      </c>
      <c r="B28" s="74"/>
      <c r="C28" s="74"/>
      <c r="D28" s="74"/>
      <c r="E28" s="74"/>
      <c r="F28" s="75"/>
      <c r="G28" s="74"/>
      <c r="H28" s="79"/>
      <c r="I28" s="74"/>
      <c r="J28" s="74"/>
      <c r="K28" s="74"/>
      <c r="L28" s="75"/>
      <c r="M28" s="78"/>
      <c r="N28" s="71"/>
    </row>
    <row r="29" spans="1:14" ht="13" x14ac:dyDescent="0.25">
      <c r="A29" s="70">
        <v>10</v>
      </c>
      <c r="B29" s="74"/>
      <c r="C29" s="74"/>
      <c r="D29" s="74"/>
      <c r="E29" s="74"/>
      <c r="F29" s="75"/>
      <c r="G29" s="75"/>
      <c r="H29" s="79"/>
      <c r="I29" s="74"/>
      <c r="J29" s="74"/>
      <c r="K29" s="74"/>
      <c r="L29" s="75"/>
      <c r="M29" s="78"/>
      <c r="N29" s="71"/>
    </row>
    <row r="30" spans="1:14" ht="13" x14ac:dyDescent="0.25">
      <c r="A30" s="70">
        <v>11</v>
      </c>
      <c r="B30" s="74"/>
      <c r="C30" s="74"/>
      <c r="D30" s="74"/>
      <c r="E30" s="74"/>
      <c r="F30" s="75"/>
      <c r="G30" s="74"/>
      <c r="H30" s="79"/>
      <c r="I30" s="74"/>
      <c r="J30" s="74"/>
      <c r="K30" s="74"/>
      <c r="L30" s="75"/>
      <c r="M30" s="78"/>
      <c r="N30" s="71"/>
    </row>
    <row r="31" spans="1:14" ht="13" x14ac:dyDescent="0.25">
      <c r="A31" s="70">
        <v>12</v>
      </c>
      <c r="B31" s="74"/>
      <c r="C31" s="74"/>
      <c r="D31" s="74"/>
      <c r="E31" s="74"/>
      <c r="F31" s="75"/>
      <c r="G31" s="74"/>
      <c r="H31" s="79"/>
      <c r="I31" s="74"/>
      <c r="J31" s="74"/>
      <c r="K31" s="74"/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8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8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8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8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8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8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8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8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8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8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8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8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8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8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8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8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8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8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8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8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8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8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8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8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8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8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8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8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8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8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8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8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8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8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8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8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8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8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8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8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8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8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8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8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8"/>
      <c r="I76" s="74"/>
      <c r="J76" s="74"/>
      <c r="K76" s="74"/>
      <c r="L76" s="75"/>
      <c r="M76" s="68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8"/>
      <c r="I77" s="74"/>
      <c r="J77" s="74"/>
      <c r="K77" s="74"/>
      <c r="L77" s="75"/>
      <c r="M77" s="68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8"/>
      <c r="I78" s="74"/>
      <c r="J78" s="74"/>
      <c r="K78" s="74"/>
      <c r="L78" s="75"/>
      <c r="M78" s="68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8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WMH3274E-42-1BN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WMH3274E-42</v>
      </c>
      <c r="C92" s="61" t="str">
        <f>INDEX($A$20:$I$79,$A92,3)</f>
        <v>1BN</v>
      </c>
      <c r="D92" s="17"/>
      <c r="E92" s="60">
        <f>INDEX($A$20:$I$79,$A92,9)</f>
        <v>166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99580997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WMH3274E-42-1BN/Bone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Tote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1:C23 K20:K2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2026-04-24T20:35:46Z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