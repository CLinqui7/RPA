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ealls Outlet/PT WAITING HC Y MANDAR/"/>
    </mc:Choice>
  </mc:AlternateContent>
  <xr:revisionPtr revIDLastSave="341" documentId="8_{0EBB2938-9D16-473B-B306-699D55C5D276}" xr6:coauthVersionLast="47" xr6:coauthVersionMax="47" xr10:uidLastSave="{33ED0FF1-FD58-488F-87AB-73A305196C43}"/>
  <bookViews>
    <workbookView xWindow="-28920" yWindow="-850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C85" i="1"/>
  <c r="B76" i="1"/>
  <c r="C76" i="1"/>
  <c r="E76" i="1"/>
  <c r="B82" i="1"/>
  <c r="B83" i="1"/>
  <c r="B84" i="1"/>
  <c r="C86" i="1"/>
  <c r="A67" i="1"/>
  <c r="D75" i="1" l="1"/>
</calcChain>
</file>

<file path=xl/sharedStrings.xml><?xml version="1.0" encoding="utf-8"?>
<sst xmlns="http://schemas.openxmlformats.org/spreadsheetml/2006/main" count="60" uniqueCount="52">
  <si>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</si>
  <si>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</si>
  <si>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</si>
  <si>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</si>
  <si>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</si>
  <si>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</si>
  <si>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</si>
  <si>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</si>
  <si>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</si>
  <si>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</si>
  <si>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</si>
  <si>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</si>
  <si>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</si>
  <si>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</si>
  <si>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</si>
  <si>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</si>
  <si>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</si>
  <si>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</si>
  <si>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</si>
  <si>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</si>
  <si>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</si>
  <si>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</si>
  <si>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</si>
  <si>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</si>
  <si>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</si>
  <si>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</si>
  <si>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</si>
  <si>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</si>
  <si>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</si>
  <si>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</si>
  <si>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</si>
  <si>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</si>
  <si>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</si>
  <si>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</si>
  <si>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</si>
  <si>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</si>
  <si>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</si>
  <si>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</si>
  <si>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</si>
  <si>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</si>
  <si>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</si>
  <si>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</si>
  <si>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</si>
  <si>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</si>
  <si>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</si>
  <si>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</si>
  <si>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1907716</t>
  </si>
  <si>
    <t>EHH436-42</t>
  </si>
  <si>
    <t>PLT</t>
  </si>
  <si>
    <t>EHH436-42 PLT</t>
  </si>
  <si>
    <t>Pink</t>
  </si>
  <si>
    <t>Cleo Nova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</si>
</sst>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2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10"/>
      <color rgb="FFFF0000"/>
      <name val="Arial"/>
      <family val="2"/>
    </font>
    <font>
      <sz val="14"/>
      <name val="Arial"/>
      <family val="2"/>
    </font>
    <font>
      <sz val="14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96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8" borderId="18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27" fillId="11" borderId="11" xfId="1" applyFill="1" applyBorder="1" applyAlignment="1">
      <alignment vertical="center" wrapText="1"/>
    </xf>
    <xf numFmtId="0" fontId="17" fillId="8" borderId="11" xfId="0" applyFont="1" applyFill="1" applyBorder="1" applyAlignment="1">
      <alignment horizontal="center"/>
    </xf>
    <xf numFmtId="0" fontId="30" fillId="7" borderId="11" xfId="0" applyFont="1" applyFill="1" applyBorder="1" applyAlignment="1">
      <alignment horizontal="center"/>
    </xf>
    <xf numFmtId="0" fontId="31" fillId="7" borderId="11" xfId="0" applyFont="1" applyFill="1" applyBorder="1" applyAlignment="1">
      <alignment horizontal="center"/>
    </xf>
    <xf numFmtId="0" fontId="30" fillId="7" borderId="11" xfId="1" applyFont="1" applyFill="1" applyBorder="1" applyAlignment="1">
      <alignment horizontal="center" vertical="center" wrapText="1"/>
    </xf>
    <xf numFmtId="0" fontId="17" fillId="7" borderId="11" xfId="0" applyFont="1" applyFill="1" applyBorder="1" applyAlignment="1">
      <alignment horizontal="center" vertical="center"/>
    </xf>
    <xf numFmtId="0" fontId="1" fillId="7" borderId="11" xfId="0" applyFont="1" applyFill="1" applyBorder="1"/>
    <xf numFmtId="0" fontId="27" fillId="7" borderId="11" xfId="1" applyFill="1" applyBorder="1" applyAlignment="1">
      <alignment vertical="center" wrapText="1"/>
    </xf>
    <xf numFmtId="0" fontId="1" fillId="7" borderId="11" xfId="0" quotePrefix="1" applyFont="1" applyFill="1" applyBorder="1" applyAlignment="1">
      <alignment horizontal="center" vertical="center"/>
    </xf>
    <xf numFmtId="0" fontId="0" fillId="7" borderId="0" xfId="0" applyFill="1"/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30" fillId="7" borderId="11" xfId="0" applyFont="1" applyFill="1" applyBorder="1" applyAlignment="1"/>
    <xf numFmtId="0" fontId="30" fillId="0" borderId="0" xfId="0" applyFont="1" applyAlignment="1"/>
    <xf numFmtId="0" fontId="31" fillId="7" borderId="11" xfId="0" applyFont="1" applyFill="1" applyBorder="1" applyAlignment="1"/>
    <xf numFmtId="0" fontId="30" fillId="0" borderId="16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28575</xdr:rowOff>
    </xdr:from>
    <xdr:to>
      <xdr:col>0</xdr:col>
      <xdr:colOff>0</xdr:colOff>
      <xdr:row>68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72</xdr:row>
      <xdr:rowOff>0</xdr:rowOff>
    </xdr:from>
    <xdr:to>
      <xdr:col>0</xdr:col>
      <xdr:colOff>0</xdr:colOff>
      <xdr:row>72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0</xdr:col>
      <xdr:colOff>0</xdr:colOff>
      <xdr:row>73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70</xdr:row>
      <xdr:rowOff>123825</xdr:rowOff>
    </xdr:from>
    <xdr:to>
      <xdr:col>0</xdr:col>
      <xdr:colOff>1000125</xdr:colOff>
      <xdr:row>73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tabSelected="1" zoomScale="91" zoomScaleNormal="91" workbookViewId="0">
      <selection activeCell="G32" sqref="G32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67.36328125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7" t="s">
        <v>32</v>
      </c>
      <c r="F2" s="88"/>
      <c r="G2" s="89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90" t="s">
        <v>33</v>
      </c>
      <c r="D7" s="91"/>
      <c r="E7" s="66" t="s">
        <v>42</v>
      </c>
      <c r="F7" s="72" t="s">
        <v>39</v>
      </c>
      <c r="G7" s="72"/>
      <c r="H7" s="72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78" t="s">
        <v>14</v>
      </c>
      <c r="C19" s="78" t="s">
        <v>20</v>
      </c>
      <c r="D19" s="78" t="s">
        <v>15</v>
      </c>
      <c r="E19" s="78" t="s">
        <v>21</v>
      </c>
      <c r="F19" s="78" t="s">
        <v>17</v>
      </c>
      <c r="G19" s="78" t="s">
        <v>18</v>
      </c>
      <c r="H19" s="78" t="s">
        <v>34</v>
      </c>
      <c r="I19" s="69" t="s">
        <v>16</v>
      </c>
      <c r="J19" s="78" t="s">
        <v>35</v>
      </c>
      <c r="K19" s="78" t="s">
        <v>36</v>
      </c>
      <c r="L19" s="78" t="s">
        <v>40</v>
      </c>
      <c r="M19" s="78" t="s">
        <v>41</v>
      </c>
      <c r="N19" s="78" t="s">
        <v>22</v>
      </c>
    </row>
    <row r="20" spans="1:14" ht="18.5" x14ac:dyDescent="0.45">
      <c r="A20" s="70">
        <v>1</v>
      </c>
      <c r="B20" s="92" t="s">
        <v>47</v>
      </c>
      <c r="C20" s="92" t="s">
        <v>48</v>
      </c>
      <c r="D20" s="92" t="str">
        <f t="shared" ref="D20" si="0">B20&amp;"-"&amp;C20</f>
        <v>EHH436-42-PLT</v>
      </c>
      <c r="E20" s="93" t="s">
        <v>49</v>
      </c>
      <c r="F20" s="92" t="s">
        <v>50</v>
      </c>
      <c r="G20" s="95" t="s">
        <v>51</v>
      </c>
      <c r="H20" s="93">
        <v>98723643</v>
      </c>
      <c r="I20" s="92">
        <v>230</v>
      </c>
      <c r="J20" s="94">
        <v>1763475</v>
      </c>
      <c r="K20" s="94" t="s">
        <v>46</v>
      </c>
      <c r="L20" s="75"/>
      <c r="M20" s="77"/>
      <c r="N20" s="71"/>
    </row>
    <row r="21" spans="1:14" ht="18.5" x14ac:dyDescent="0.45">
      <c r="A21" s="70">
        <v>2</v>
      </c>
      <c r="B21" s="79"/>
      <c r="C21" s="79"/>
      <c r="D21" s="79"/>
      <c r="E21" s="79"/>
      <c r="F21" s="79"/>
      <c r="G21" s="79"/>
      <c r="H21" s="79"/>
      <c r="I21" s="79"/>
      <c r="J21" s="80"/>
      <c r="K21" s="80"/>
      <c r="L21" s="75"/>
      <c r="M21" s="77"/>
      <c r="N21" s="71"/>
    </row>
    <row r="22" spans="1:14" ht="17.5" x14ac:dyDescent="0.35">
      <c r="A22" s="70">
        <v>19</v>
      </c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5"/>
      <c r="M22" s="77"/>
      <c r="N22" s="71"/>
    </row>
    <row r="23" spans="1:14" ht="17.5" x14ac:dyDescent="0.35">
      <c r="A23" s="70">
        <v>20</v>
      </c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5"/>
      <c r="M23" s="77"/>
      <c r="N23" s="71"/>
    </row>
    <row r="24" spans="1:14" ht="17.5" x14ac:dyDescent="0.35">
      <c r="A24" s="70">
        <v>21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5"/>
      <c r="M24" s="77"/>
      <c r="N24" s="71"/>
    </row>
    <row r="25" spans="1:14" ht="17.5" x14ac:dyDescent="0.35">
      <c r="A25" s="70">
        <v>22</v>
      </c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5"/>
      <c r="M25" s="77"/>
      <c r="N25" s="71"/>
    </row>
    <row r="26" spans="1:14" ht="17.5" x14ac:dyDescent="0.35">
      <c r="A26" s="70">
        <v>23</v>
      </c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5"/>
      <c r="M26" s="77"/>
      <c r="N26" s="71"/>
    </row>
    <row r="27" spans="1:14" ht="17.5" x14ac:dyDescent="0.35">
      <c r="A27" s="70">
        <v>24</v>
      </c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5"/>
      <c r="M27" s="77"/>
      <c r="N27" s="71"/>
    </row>
    <row r="28" spans="1:14" ht="17.5" x14ac:dyDescent="0.35">
      <c r="A28" s="70">
        <v>25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5"/>
      <c r="M28" s="77"/>
      <c r="N28" s="71"/>
    </row>
    <row r="29" spans="1:14" ht="17.5" x14ac:dyDescent="0.35">
      <c r="A29" s="70">
        <v>26</v>
      </c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5"/>
      <c r="M29" s="77"/>
      <c r="N29" s="71"/>
    </row>
    <row r="30" spans="1:14" ht="17.5" x14ac:dyDescent="0.35">
      <c r="A30" s="70">
        <v>27</v>
      </c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5"/>
      <c r="M30" s="77"/>
      <c r="N30" s="71"/>
    </row>
    <row r="31" spans="1:14" ht="17.5" x14ac:dyDescent="0.35">
      <c r="A31" s="70">
        <v>28</v>
      </c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5"/>
      <c r="M31" s="77"/>
      <c r="N31" s="71"/>
    </row>
    <row r="32" spans="1:14" ht="17.5" x14ac:dyDescent="0.35">
      <c r="A32" s="70">
        <v>29</v>
      </c>
      <c r="B32" s="79"/>
      <c r="C32" s="79"/>
      <c r="D32" s="79"/>
      <c r="E32" s="79"/>
      <c r="F32" s="79"/>
      <c r="G32" s="81"/>
      <c r="H32" s="79"/>
      <c r="I32" s="79"/>
      <c r="J32" s="79"/>
      <c r="K32" s="79"/>
      <c r="L32" s="75"/>
      <c r="M32" s="77"/>
      <c r="N32" s="71"/>
    </row>
    <row r="33" spans="1:14" ht="17.5" x14ac:dyDescent="0.35">
      <c r="A33" s="70">
        <v>30</v>
      </c>
      <c r="B33" s="79"/>
      <c r="C33" s="79"/>
      <c r="D33" s="79"/>
      <c r="E33" s="79"/>
      <c r="F33" s="79"/>
      <c r="G33" s="81"/>
      <c r="H33" s="79"/>
      <c r="I33" s="79"/>
      <c r="J33" s="79"/>
      <c r="K33" s="79"/>
      <c r="L33" s="75"/>
      <c r="M33" s="77"/>
      <c r="N33" s="71"/>
    </row>
    <row r="34" spans="1:14" s="86" customFormat="1" ht="17.5" x14ac:dyDescent="0.35">
      <c r="A34" s="82">
        <v>31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3"/>
      <c r="M34" s="84"/>
      <c r="N34" s="85"/>
    </row>
    <row r="35" spans="1:14" ht="17.5" x14ac:dyDescent="0.35">
      <c r="A35" s="70">
        <v>32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5"/>
      <c r="M35" s="77"/>
      <c r="N35" s="71"/>
    </row>
    <row r="36" spans="1:14" ht="17.5" x14ac:dyDescent="0.35">
      <c r="A36" s="70">
        <v>33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5"/>
      <c r="M36" s="77"/>
      <c r="N36" s="71"/>
    </row>
    <row r="37" spans="1:14" ht="17.5" x14ac:dyDescent="0.35">
      <c r="A37" s="70">
        <v>34</v>
      </c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5"/>
      <c r="M37" s="77"/>
      <c r="N37" s="71"/>
    </row>
    <row r="38" spans="1:14" ht="17.5" x14ac:dyDescent="0.35">
      <c r="A38" s="70">
        <v>35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5"/>
      <c r="M38" s="77"/>
      <c r="N38" s="71"/>
    </row>
    <row r="39" spans="1:14" ht="17.5" x14ac:dyDescent="0.35">
      <c r="A39" s="70">
        <v>36</v>
      </c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5"/>
      <c r="M39" s="77"/>
      <c r="N39" s="71"/>
    </row>
    <row r="40" spans="1:14" ht="17.5" x14ac:dyDescent="0.35">
      <c r="A40" s="70">
        <v>37</v>
      </c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5"/>
      <c r="M40" s="77"/>
      <c r="N40" s="71"/>
    </row>
    <row r="41" spans="1:14" ht="17.5" x14ac:dyDescent="0.35">
      <c r="A41" s="70">
        <v>38</v>
      </c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5"/>
      <c r="M41" s="77"/>
      <c r="N41" s="71"/>
    </row>
    <row r="42" spans="1:14" ht="17.5" x14ac:dyDescent="0.35">
      <c r="A42" s="70">
        <v>39</v>
      </c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5"/>
      <c r="M42" s="77"/>
      <c r="N42" s="71"/>
    </row>
    <row r="43" spans="1:14" ht="17.5" x14ac:dyDescent="0.35">
      <c r="A43" s="70">
        <v>40</v>
      </c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5"/>
      <c r="M43" s="77"/>
      <c r="N43" s="71"/>
    </row>
    <row r="44" spans="1:14" ht="17.5" x14ac:dyDescent="0.35">
      <c r="A44" s="70">
        <v>41</v>
      </c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5"/>
      <c r="M44" s="77"/>
      <c r="N44" s="71"/>
    </row>
    <row r="45" spans="1:14" ht="17.5" x14ac:dyDescent="0.35">
      <c r="A45" s="70">
        <v>42</v>
      </c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5"/>
      <c r="M45" s="77"/>
      <c r="N45" s="71"/>
    </row>
    <row r="46" spans="1:14" ht="17.5" x14ac:dyDescent="0.35">
      <c r="A46" s="70">
        <v>43</v>
      </c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5"/>
      <c r="M46" s="77"/>
      <c r="N46" s="71"/>
    </row>
    <row r="47" spans="1:14" ht="17.5" x14ac:dyDescent="0.35">
      <c r="A47" s="70">
        <v>44</v>
      </c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5"/>
      <c r="M47" s="77"/>
      <c r="N47" s="71"/>
    </row>
    <row r="48" spans="1:14" ht="13" x14ac:dyDescent="0.25">
      <c r="A48" s="70">
        <v>45</v>
      </c>
      <c r="B48" s="74"/>
      <c r="C48" s="74"/>
      <c r="D48" s="74"/>
      <c r="E48" s="74"/>
      <c r="F48" s="75"/>
      <c r="G48" s="74"/>
      <c r="H48" s="67"/>
      <c r="I48" s="74"/>
      <c r="J48" s="74"/>
      <c r="K48" s="74"/>
      <c r="L48" s="75"/>
      <c r="M48" s="77"/>
      <c r="N48" s="71"/>
    </row>
    <row r="49" spans="1:14" ht="13" x14ac:dyDescent="0.25">
      <c r="A49" s="70">
        <v>46</v>
      </c>
      <c r="B49" s="74"/>
      <c r="C49" s="74"/>
      <c r="D49" s="74"/>
      <c r="E49" s="74"/>
      <c r="F49" s="75"/>
      <c r="G49" s="74"/>
      <c r="H49" s="67"/>
      <c r="I49" s="74"/>
      <c r="J49" s="74"/>
      <c r="K49" s="74"/>
      <c r="L49" s="75"/>
      <c r="M49" s="77"/>
      <c r="N49" s="71"/>
    </row>
    <row r="50" spans="1:14" ht="13" x14ac:dyDescent="0.25">
      <c r="A50" s="70">
        <v>47</v>
      </c>
      <c r="B50" s="74"/>
      <c r="C50" s="74"/>
      <c r="D50" s="74"/>
      <c r="E50" s="74"/>
      <c r="F50" s="75"/>
      <c r="G50" s="74"/>
      <c r="H50" s="67"/>
      <c r="I50" s="74"/>
      <c r="J50" s="74"/>
      <c r="K50" s="74"/>
      <c r="L50" s="75"/>
      <c r="M50" s="77"/>
      <c r="N50" s="71"/>
    </row>
    <row r="51" spans="1:14" ht="13" x14ac:dyDescent="0.25">
      <c r="A51" s="70">
        <v>48</v>
      </c>
      <c r="B51" s="74"/>
      <c r="C51" s="74"/>
      <c r="D51" s="74"/>
      <c r="E51" s="74"/>
      <c r="F51" s="75"/>
      <c r="G51" s="74"/>
      <c r="H51" s="67"/>
      <c r="I51" s="74"/>
      <c r="J51" s="74"/>
      <c r="K51" s="74"/>
      <c r="L51" s="75"/>
      <c r="M51" s="77"/>
      <c r="N51" s="71"/>
    </row>
    <row r="52" spans="1:14" ht="13" x14ac:dyDescent="0.25">
      <c r="A52" s="70">
        <v>49</v>
      </c>
      <c r="B52" s="74"/>
      <c r="C52" s="74"/>
      <c r="D52" s="74"/>
      <c r="E52" s="74"/>
      <c r="F52" s="75"/>
      <c r="G52" s="74"/>
      <c r="H52" s="67"/>
      <c r="I52" s="74"/>
      <c r="J52" s="74"/>
      <c r="K52" s="74"/>
      <c r="L52" s="75"/>
      <c r="M52" s="77"/>
      <c r="N52" s="71"/>
    </row>
    <row r="53" spans="1:14" ht="13" x14ac:dyDescent="0.25">
      <c r="A53" s="70">
        <v>50</v>
      </c>
      <c r="B53" s="74"/>
      <c r="C53" s="74"/>
      <c r="D53" s="74"/>
      <c r="E53" s="74"/>
      <c r="F53" s="75"/>
      <c r="G53" s="74"/>
      <c r="H53" s="67"/>
      <c r="I53" s="74"/>
      <c r="J53" s="74"/>
      <c r="K53" s="74"/>
      <c r="L53" s="75"/>
      <c r="M53" s="77"/>
      <c r="N53" s="71"/>
    </row>
    <row r="54" spans="1:14" ht="13" x14ac:dyDescent="0.25">
      <c r="A54" s="70">
        <v>51</v>
      </c>
      <c r="B54" s="74"/>
      <c r="C54" s="74"/>
      <c r="D54" s="74"/>
      <c r="E54" s="74"/>
      <c r="F54" s="75"/>
      <c r="G54" s="74"/>
      <c r="H54" s="67"/>
      <c r="I54" s="74"/>
      <c r="J54" s="74"/>
      <c r="K54" s="74"/>
      <c r="L54" s="75"/>
      <c r="M54" s="77"/>
      <c r="N54" s="71"/>
    </row>
    <row r="55" spans="1:14" ht="13" x14ac:dyDescent="0.25">
      <c r="A55" s="70">
        <v>52</v>
      </c>
      <c r="B55" s="74"/>
      <c r="C55" s="74"/>
      <c r="D55" s="74"/>
      <c r="E55" s="74"/>
      <c r="F55" s="75"/>
      <c r="G55" s="74"/>
      <c r="H55" s="67"/>
      <c r="I55" s="74"/>
      <c r="J55" s="74"/>
      <c r="K55" s="74"/>
      <c r="L55" s="75"/>
      <c r="M55" s="77"/>
      <c r="N55" s="71"/>
    </row>
    <row r="56" spans="1:14" ht="13" x14ac:dyDescent="0.25">
      <c r="A56" s="70">
        <v>53</v>
      </c>
      <c r="B56" s="74"/>
      <c r="C56" s="74"/>
      <c r="D56" s="74"/>
      <c r="E56" s="74"/>
      <c r="F56" s="75"/>
      <c r="G56" s="74"/>
      <c r="H56" s="67"/>
      <c r="I56" s="74"/>
      <c r="J56" s="74"/>
      <c r="K56" s="74"/>
      <c r="L56" s="75"/>
      <c r="M56" s="77"/>
      <c r="N56" s="71"/>
    </row>
    <row r="57" spans="1:14" ht="13" x14ac:dyDescent="0.25">
      <c r="A57" s="70">
        <v>54</v>
      </c>
      <c r="B57" s="74"/>
      <c r="C57" s="74"/>
      <c r="D57" s="74"/>
      <c r="E57" s="74"/>
      <c r="F57" s="75"/>
      <c r="G57" s="74"/>
      <c r="H57" s="67"/>
      <c r="I57" s="74"/>
      <c r="J57" s="74"/>
      <c r="K57" s="74"/>
      <c r="L57" s="75"/>
      <c r="M57" s="77"/>
      <c r="N57" s="71"/>
    </row>
    <row r="58" spans="1:14" ht="13" x14ac:dyDescent="0.25">
      <c r="A58" s="70">
        <v>55</v>
      </c>
      <c r="B58" s="74"/>
      <c r="C58" s="74"/>
      <c r="D58" s="74"/>
      <c r="E58" s="74"/>
      <c r="F58" s="75"/>
      <c r="G58" s="74"/>
      <c r="H58" s="67"/>
      <c r="I58" s="74"/>
      <c r="J58" s="74"/>
      <c r="K58" s="74"/>
      <c r="L58" s="75"/>
      <c r="M58" s="77"/>
      <c r="N58" s="71"/>
    </row>
    <row r="59" spans="1:14" ht="13" x14ac:dyDescent="0.25">
      <c r="A59" s="70">
        <v>56</v>
      </c>
      <c r="B59" s="74"/>
      <c r="C59" s="74"/>
      <c r="D59" s="74"/>
      <c r="E59" s="74"/>
      <c r="F59" s="75"/>
      <c r="G59" s="74"/>
      <c r="H59" s="67"/>
      <c r="I59" s="74"/>
      <c r="J59" s="74"/>
      <c r="K59" s="74"/>
      <c r="L59" s="75"/>
      <c r="M59" s="77"/>
      <c r="N59" s="71"/>
    </row>
    <row r="60" spans="1:14" ht="13" x14ac:dyDescent="0.25">
      <c r="A60" s="70">
        <v>57</v>
      </c>
      <c r="B60" s="76"/>
      <c r="C60" s="76"/>
      <c r="D60" s="74"/>
      <c r="E60" s="74"/>
      <c r="F60" s="75"/>
      <c r="G60" s="74"/>
      <c r="H60" s="67"/>
      <c r="I60" s="74"/>
      <c r="J60" s="74"/>
      <c r="K60" s="74"/>
      <c r="L60" s="75"/>
      <c r="M60" s="67"/>
      <c r="N60" s="71"/>
    </row>
    <row r="61" spans="1:14" ht="13" x14ac:dyDescent="0.25">
      <c r="A61" s="70">
        <v>58</v>
      </c>
      <c r="B61" s="76"/>
      <c r="C61" s="76"/>
      <c r="D61" s="74"/>
      <c r="E61" s="74"/>
      <c r="F61" s="75"/>
      <c r="G61" s="74"/>
      <c r="H61" s="67"/>
      <c r="I61" s="74"/>
      <c r="J61" s="74"/>
      <c r="K61" s="74"/>
      <c r="L61" s="75"/>
      <c r="M61" s="67"/>
      <c r="N61" s="71"/>
    </row>
    <row r="62" spans="1:14" ht="13" x14ac:dyDescent="0.25">
      <c r="A62" s="70">
        <v>59</v>
      </c>
      <c r="B62" s="76"/>
      <c r="C62" s="76"/>
      <c r="D62" s="74"/>
      <c r="E62" s="74"/>
      <c r="F62" s="75"/>
      <c r="G62" s="74"/>
      <c r="H62" s="67"/>
      <c r="I62" s="74"/>
      <c r="J62" s="74"/>
      <c r="K62" s="74"/>
      <c r="L62" s="75"/>
      <c r="M62" s="67"/>
      <c r="N62" s="71"/>
    </row>
    <row r="63" spans="1:14" ht="13" x14ac:dyDescent="0.25">
      <c r="A63" s="70">
        <v>60</v>
      </c>
      <c r="B63" s="76"/>
      <c r="C63" s="76"/>
      <c r="D63" s="74"/>
      <c r="E63" s="74"/>
      <c r="I63" s="74"/>
      <c r="J63" s="74"/>
      <c r="K63" s="74"/>
      <c r="L63" s="75"/>
      <c r="M63" s="67"/>
      <c r="N63" s="71"/>
    </row>
    <row r="64" spans="1:14" ht="15.75" customHeight="1" x14ac:dyDescent="0.25">
      <c r="B64" s="3"/>
      <c r="C64" s="37"/>
    </row>
    <row r="65" spans="1:7" ht="20" x14ac:dyDescent="0.4">
      <c r="A65" s="7" t="s">
        <v>4</v>
      </c>
      <c r="B65" s="3"/>
      <c r="C65" s="37"/>
    </row>
    <row r="66" spans="1:7" ht="15.5" x14ac:dyDescent="0.35">
      <c r="A66" s="6"/>
      <c r="B66" s="4"/>
      <c r="C66" s="38"/>
    </row>
    <row r="67" spans="1:7" ht="23" x14ac:dyDescent="0.5">
      <c r="A67" s="5" t="str">
        <f>D4</f>
        <v>PT# SEE BELOW</v>
      </c>
    </row>
    <row r="68" spans="1:7" x14ac:dyDescent="0.25">
      <c r="D68" s="3"/>
      <c r="F68" s="3"/>
      <c r="G68" s="3"/>
    </row>
    <row r="69" spans="1:7" ht="23" x14ac:dyDescent="0.5">
      <c r="B69" s="47"/>
      <c r="C69" s="37"/>
      <c r="E69" s="3"/>
    </row>
    <row r="70" spans="1:7" ht="23" x14ac:dyDescent="0.5">
      <c r="A70" s="47" t="s">
        <v>24</v>
      </c>
    </row>
    <row r="72" spans="1:7" ht="13" thickBot="1" x14ac:dyDescent="0.3"/>
    <row r="73" spans="1:7" ht="13" thickBot="1" x14ac:dyDescent="0.3">
      <c r="D73" s="42"/>
    </row>
    <row r="74" spans="1:7" ht="13.5" thickBot="1" x14ac:dyDescent="0.35">
      <c r="B74" s="42"/>
      <c r="C74" s="58"/>
      <c r="D74" s="59" t="s">
        <v>9</v>
      </c>
      <c r="E74" s="22"/>
    </row>
    <row r="75" spans="1:7" ht="13" x14ac:dyDescent="0.3">
      <c r="A75" s="42"/>
      <c r="B75" s="59" t="s">
        <v>6</v>
      </c>
      <c r="C75" s="59" t="s">
        <v>7</v>
      </c>
      <c r="D75" s="62" t="str">
        <f>INDEX($A$20:$I$63,$A76,4)</f>
        <v>EHH436-42-PLT</v>
      </c>
      <c r="E75" s="57" t="s">
        <v>8</v>
      </c>
    </row>
    <row r="76" spans="1:7" ht="16" thickBot="1" x14ac:dyDescent="0.4">
      <c r="A76" s="49">
        <v>1</v>
      </c>
      <c r="B76" s="60" t="str">
        <f>INDEX($A$20:$I$63,$A76,2)</f>
        <v>EHH436-42</v>
      </c>
      <c r="C76" s="61" t="str">
        <f>INDEX($A$20:$I$63,$A76,3)</f>
        <v>PLT</v>
      </c>
      <c r="D76" s="17"/>
      <c r="E76" s="60">
        <f>INDEX($A$20:$I$63,$A76,9)</f>
        <v>230</v>
      </c>
    </row>
    <row r="77" spans="1:7" ht="15.5" x14ac:dyDescent="0.35">
      <c r="A77" s="18"/>
      <c r="B77" s="16"/>
      <c r="C77" s="39"/>
      <c r="D77" s="24"/>
      <c r="E77" s="20"/>
    </row>
    <row r="78" spans="1:7" ht="15.5" x14ac:dyDescent="0.35">
      <c r="A78" s="19"/>
      <c r="B78" s="23" t="s">
        <v>25</v>
      </c>
      <c r="C78" s="29"/>
      <c r="D78" s="24"/>
      <c r="E78" s="9"/>
    </row>
    <row r="79" spans="1:7" ht="15.5" x14ac:dyDescent="0.35">
      <c r="A79" s="19"/>
      <c r="B79" s="23" t="s">
        <v>26</v>
      </c>
      <c r="C79" s="29"/>
      <c r="D79" s="25"/>
      <c r="E79" s="9"/>
    </row>
    <row r="80" spans="1:7" ht="15.5" x14ac:dyDescent="0.35">
      <c r="A80" s="19"/>
      <c r="B80" s="23" t="s">
        <v>27</v>
      </c>
      <c r="C80" s="29"/>
      <c r="D80" s="26"/>
      <c r="E80" s="9"/>
    </row>
    <row r="81" spans="1:5" ht="15.5" x14ac:dyDescent="0.35">
      <c r="A81" s="19"/>
      <c r="B81" s="23" t="s">
        <v>28</v>
      </c>
      <c r="C81" s="29"/>
      <c r="D81" s="28"/>
      <c r="E81" s="9"/>
    </row>
    <row r="82" spans="1:5" ht="15.5" x14ac:dyDescent="0.35">
      <c r="A82" s="19"/>
      <c r="B82" s="27" t="str">
        <f>$D$5</f>
        <v>PO#: SEE BELOW</v>
      </c>
      <c r="C82" s="40"/>
      <c r="D82" s="28"/>
      <c r="E82" s="9"/>
    </row>
    <row r="83" spans="1:5" ht="15.5" x14ac:dyDescent="0.35">
      <c r="A83" s="19"/>
      <c r="B83" s="44" t="str">
        <f>"SKU#: "&amp;INDEX($A$20:$I$63,A76,8)</f>
        <v>SKU#: 98723643</v>
      </c>
      <c r="D83" s="28"/>
      <c r="E83" s="9"/>
    </row>
    <row r="84" spans="1:5" ht="15.5" x14ac:dyDescent="0.35">
      <c r="A84" s="19"/>
      <c r="B84" s="46" t="e">
        <f>"DEPT#: "&amp;TEXT(#REF!,"000")</f>
        <v>#REF!</v>
      </c>
      <c r="C84" s="40"/>
      <c r="D84" s="28"/>
      <c r="E84" s="9"/>
    </row>
    <row r="85" spans="1:5" ht="15.5" x14ac:dyDescent="0.35">
      <c r="A85" s="19"/>
      <c r="B85" s="27" t="s">
        <v>11</v>
      </c>
      <c r="C85" s="29" t="str">
        <f>INDEX($A$20:$I$63,A76,5)&amp;"/"&amp;INDEX($A$20:$I$63,A76,6)</f>
        <v>EHH436-42 PLT/Pink</v>
      </c>
      <c r="D85" s="28"/>
      <c r="E85" s="9"/>
    </row>
    <row r="86" spans="1:5" ht="15.5" x14ac:dyDescent="0.35">
      <c r="A86" s="19"/>
      <c r="B86" s="27" t="s">
        <v>12</v>
      </c>
      <c r="C86" s="29" t="str">
        <f>INDEX($A$20:$H21,A76,7)</f>
        <v>Cleo Nova</v>
      </c>
      <c r="D86" s="28"/>
      <c r="E86" s="9"/>
    </row>
    <row r="87" spans="1:5" ht="15.5" x14ac:dyDescent="0.35">
      <c r="A87" s="19"/>
      <c r="B87" s="27" t="s">
        <v>19</v>
      </c>
      <c r="C87" s="29"/>
      <c r="D87" s="28"/>
      <c r="E87" s="9"/>
    </row>
    <row r="88" spans="1:5" ht="16" thickBot="1" x14ac:dyDescent="0.4">
      <c r="A88" s="19"/>
      <c r="B88" s="27" t="s">
        <v>13</v>
      </c>
      <c r="C88" s="29"/>
      <c r="D88" s="11"/>
      <c r="E88" s="9"/>
    </row>
    <row r="89" spans="1:5" ht="13.5" thickBot="1" x14ac:dyDescent="0.35">
      <c r="A89" s="19"/>
      <c r="B89" s="10"/>
      <c r="C89" s="41"/>
      <c r="E89" s="12"/>
    </row>
    <row r="90" spans="1:5" ht="13" thickBot="1" x14ac:dyDescent="0.3">
      <c r="A90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2022-01-24T15:57:23Z</cp:lastPrinted>
  <dcterms:created xsi:type="dcterms:W3CDTF">2008-06-06T20:54:57Z</dcterms:created>
  <dcterms:modified xsi:type="dcterms:W3CDTF">2026-06-09T16:46:08Z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