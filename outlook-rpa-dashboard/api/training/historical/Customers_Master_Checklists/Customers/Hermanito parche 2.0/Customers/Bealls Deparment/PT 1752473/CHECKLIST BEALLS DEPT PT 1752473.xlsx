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Deparment/PT/"/>
    </mc:Choice>
  </mc:AlternateContent>
  <xr:revisionPtr revIDLastSave="20" documentId="13_ncr:1_{97D3C7B5-433E-474F-A1F0-2CA6854296D6}" xr6:coauthVersionLast="47" xr6:coauthVersionMax="47" xr10:uidLastSave="{A893EE58-E913-4E8A-ADE7-A28DB919DE07}"/>
  <bookViews>
    <workbookView xWindow="2868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Sheet1!$A$19:$S$21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F21" i="1" s="1"/>
  <c r="E20" i="1"/>
  <c r="F20" i="1" s="1"/>
  <c r="E34" i="1"/>
  <c r="B35" i="1"/>
  <c r="C35" i="1"/>
  <c r="F35" i="1"/>
  <c r="B41" i="1"/>
  <c r="B42" i="1"/>
  <c r="B43" i="1"/>
  <c r="C45" i="1"/>
  <c r="A26" i="1"/>
  <c r="C44" i="1" l="1"/>
</calcChain>
</file>

<file path=xl/sharedStrings.xml><?xml version="1.0" encoding="utf-8"?>
<sst xmlns="http://schemas.openxmlformats.org/spreadsheetml/2006/main" count="58" uniqueCount="52">
  <si>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</si>
  <si>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</si>
  <si>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</si>
  <si>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</si>
  <si>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</si>
  <si>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</si>
  <si>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</si>
  <si>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</si>
  <si>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</si>
  <si>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</si>
  <si>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</si>
  <si>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</si>
  <si>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</si>
  <si>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</si>
  <si>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</si>
  <si>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</si>
  <si>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</si>
  <si>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</si>
  <si>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</si>
  <si>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</si>
  <si>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</si>
  <si>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</si>
  <si>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</si>
  <si>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</si>
  <si>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</si>
  <si>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</si>
  <si>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</si>
  <si>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</si>
  <si>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</si>
  <si>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</si>
  <si>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</si>
  <si>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</si>
  <si>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</si>
  <si>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</si>
  <si>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</si>
  <si>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Make sure we are not covering the scannable barcode</t>
  </si>
  <si>
    <t>TICKETS</t>
  </si>
  <si>
    <t>IF YES TRACKING</t>
  </si>
  <si>
    <t>SEE BELOW</t>
  </si>
  <si>
    <t>RETAIL PRICE</t>
  </si>
  <si>
    <t>SKU</t>
  </si>
  <si>
    <t>-</t>
  </si>
  <si>
    <t>JN00013S-42</t>
  </si>
  <si>
    <t>B02</t>
  </si>
  <si>
    <t>MN0013S</t>
  </si>
  <si>
    <t>004</t>
  </si>
  <si>
    <t>194866624378</t>
  </si>
  <si>
    <t>196540941108</t>
  </si>
  <si>
    <t>0105844</t>
  </si>
  <si>
    <t>Silver</t>
  </si>
  <si>
    <t>SILVER DOG TAG</t>
  </si>
  <si>
    <t>SILVER CROSS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</si>
</sst>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29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2" fillId="0" borderId="8" xfId="0" applyFont="1" applyBorder="1" applyAlignment="1">
      <alignment horizontal="left"/>
    </xf>
    <xf numFmtId="0" fontId="0" fillId="0" borderId="7" xfId="0" applyBorder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7" borderId="8" xfId="0" applyFont="1" applyFill="1" applyBorder="1" applyAlignment="1">
      <alignment horizontal="center" wrapText="1"/>
    </xf>
    <xf numFmtId="0" fontId="9" fillId="5" borderId="11" xfId="0" applyFont="1" applyFill="1" applyBorder="1"/>
    <xf numFmtId="0" fontId="0" fillId="5" borderId="0" xfId="0" applyFill="1"/>
    <xf numFmtId="0" fontId="27" fillId="0" borderId="0" xfId="1"/>
    <xf numFmtId="0" fontId="28" fillId="5" borderId="0" xfId="0" applyFont="1" applyFill="1"/>
    <xf numFmtId="0" fontId="27" fillId="9" borderId="11" xfId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23" fillId="2" borderId="0" xfId="0" applyFont="1" applyFill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" fontId="8" fillId="3" borderId="0" xfId="0" applyNumberFormat="1" applyFont="1" applyFill="1" applyAlignment="1">
      <alignment horizontal="center"/>
    </xf>
    <xf numFmtId="0" fontId="0" fillId="3" borderId="4" xfId="0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164" fontId="9" fillId="4" borderId="0" xfId="0" applyNumberFormat="1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7" fillId="6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7" fillId="6" borderId="11" xfId="0" applyFont="1" applyFill="1" applyBorder="1" applyAlignment="1">
      <alignment horizontal="center"/>
    </xf>
    <xf numFmtId="0" fontId="1" fillId="0" borderId="0" xfId="0" applyFont="1"/>
    <xf numFmtId="0" fontId="0" fillId="3" borderId="14" xfId="0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3" fillId="3" borderId="0" xfId="0" applyFont="1" applyFill="1" applyAlignment="1">
      <alignment horizontal="center"/>
    </xf>
    <xf numFmtId="49" fontId="1" fillId="0" borderId="11" xfId="0" applyNumberFormat="1" applyFont="1" applyBorder="1" applyAlignment="1">
      <alignment horizontal="center" vertical="center"/>
    </xf>
    <xf numFmtId="49" fontId="1" fillId="5" borderId="11" xfId="0" quotePrefix="1" applyNumberFormat="1" applyFont="1" applyFill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3" fillId="8" borderId="12" xfId="0" applyFont="1" applyFill="1" applyBorder="1" applyAlignment="1">
      <alignment horizontal="center"/>
    </xf>
    <xf numFmtId="0" fontId="23" fillId="8" borderId="15" xfId="0" applyFont="1" applyFill="1" applyBorder="1" applyAlignment="1">
      <alignment horizontal="center"/>
    </xf>
    <xf numFmtId="0" fontId="23" fillId="8" borderId="13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0" fontId="8" fillId="5" borderId="18" xfId="0" applyFont="1" applyFill="1" applyBorder="1" applyAlignment="1">
      <alignment horizontal="center"/>
    </xf>
    <xf numFmtId="0" fontId="8" fillId="5" borderId="17" xfId="0" applyFont="1" applyFill="1" applyBorder="1" applyAlignment="1">
      <alignment horizontal="center"/>
    </xf>
    <xf numFmtId="0" fontId="0" fillId="0" borderId="16" xfId="0" applyBorder="1" applyAlignment="1">
      <alignment vertical="center"/>
    </xf>
    <xf numFmtId="0" fontId="1" fillId="0" borderId="1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0</xdr:colOff>
      <xdr:row>29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0</xdr:colOff>
      <xdr:row>29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0</xdr:colOff>
      <xdr:row>27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32</xdr:row>
      <xdr:rowOff>0</xdr:rowOff>
    </xdr:from>
    <xdr:to>
      <xdr:col>0</xdr:col>
      <xdr:colOff>0</xdr:colOff>
      <xdr:row>32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29</xdr:row>
      <xdr:rowOff>123825</xdr:rowOff>
    </xdr:from>
    <xdr:to>
      <xdr:col>0</xdr:col>
      <xdr:colOff>1000125</xdr:colOff>
      <xdr:row>32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146050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146050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zoomScale="85" zoomScaleNormal="85" workbookViewId="0">
      <selection activeCell="I35" sqref="I35"/>
    </sheetView>
  </sheetViews>
  <sheetFormatPr defaultColWidth="8.81640625" defaultRowHeight="12.5" x14ac:dyDescent="0.25"/>
  <cols>
    <col min="1" max="1" width="15.81640625" style="29" customWidth="1"/>
    <col min="2" max="2" width="22.81640625" style="29" customWidth="1"/>
    <col min="3" max="4" width="16" style="29" customWidth="1"/>
    <col min="5" max="5" width="23.54296875" style="29" bestFit="1" customWidth="1"/>
    <col min="6" max="6" width="19.26953125" style="29" customWidth="1"/>
    <col min="7" max="7" width="18.81640625" style="29" customWidth="1"/>
    <col min="8" max="8" width="52" style="29" bestFit="1" customWidth="1"/>
    <col min="9" max="9" width="22.453125" style="29" bestFit="1" customWidth="1"/>
    <col min="10" max="13" width="17.7265625" style="29" customWidth="1"/>
    <col min="14" max="14" width="14.81640625" style="29" customWidth="1"/>
    <col min="15" max="15" width="19.6328125" style="29" customWidth="1"/>
    <col min="16" max="16" width="25.453125" customWidth="1"/>
    <col min="17" max="17" width="16.81640625" customWidth="1"/>
    <col min="19" max="19" width="16.81640625" bestFit="1" customWidth="1"/>
    <col min="20" max="20" width="21.7265625" customWidth="1"/>
  </cols>
  <sheetData>
    <row r="1" spans="1:19" ht="13" thickBot="1" x14ac:dyDescent="0.3">
      <c r="A1"/>
      <c r="B1"/>
      <c r="C1" s="17"/>
      <c r="D1" s="17"/>
      <c r="E1"/>
      <c r="F1"/>
      <c r="G1"/>
      <c r="H1"/>
      <c r="I1"/>
      <c r="J1"/>
      <c r="K1"/>
      <c r="L1"/>
      <c r="M1"/>
      <c r="N1"/>
      <c r="O1"/>
    </row>
    <row r="2" spans="1:19" ht="23.5" thickBot="1" x14ac:dyDescent="0.55000000000000004">
      <c r="A2"/>
      <c r="B2"/>
      <c r="C2" s="17"/>
      <c r="D2" s="17"/>
      <c r="E2"/>
      <c r="F2" s="74" t="s">
        <v>30</v>
      </c>
      <c r="G2" s="75"/>
      <c r="H2" s="76"/>
      <c r="I2"/>
      <c r="J2"/>
      <c r="K2"/>
      <c r="L2"/>
      <c r="M2"/>
      <c r="N2"/>
      <c r="O2"/>
    </row>
    <row r="3" spans="1:19" x14ac:dyDescent="0.25">
      <c r="A3"/>
      <c r="B3"/>
      <c r="C3" s="17"/>
      <c r="D3" s="17"/>
      <c r="E3"/>
      <c r="F3"/>
      <c r="G3"/>
      <c r="H3"/>
      <c r="I3"/>
      <c r="J3"/>
      <c r="K3"/>
      <c r="L3"/>
      <c r="M3"/>
      <c r="N3"/>
      <c r="O3"/>
    </row>
    <row r="4" spans="1:19" ht="18" x14ac:dyDescent="0.4">
      <c r="A4" s="1" t="s">
        <v>0</v>
      </c>
      <c r="B4"/>
      <c r="C4" s="17"/>
      <c r="D4" s="17"/>
      <c r="E4" s="37" t="s">
        <v>38</v>
      </c>
      <c r="F4"/>
      <c r="G4"/>
      <c r="H4"/>
      <c r="I4"/>
      <c r="J4"/>
      <c r="K4"/>
      <c r="L4"/>
      <c r="M4"/>
      <c r="N4"/>
      <c r="O4"/>
    </row>
    <row r="5" spans="1:19" ht="15.5" x14ac:dyDescent="0.35">
      <c r="A5"/>
      <c r="B5"/>
      <c r="C5" s="17"/>
      <c r="D5" s="17"/>
      <c r="E5" s="37" t="s">
        <v>38</v>
      </c>
      <c r="F5"/>
      <c r="G5"/>
      <c r="H5"/>
      <c r="I5"/>
      <c r="J5"/>
      <c r="K5"/>
      <c r="L5"/>
      <c r="M5"/>
      <c r="N5"/>
      <c r="O5"/>
    </row>
    <row r="6" spans="1:19" x14ac:dyDescent="0.25">
      <c r="A6"/>
      <c r="B6"/>
      <c r="C6" s="17"/>
      <c r="D6" s="17"/>
      <c r="E6"/>
      <c r="F6"/>
      <c r="G6"/>
      <c r="H6"/>
      <c r="I6"/>
      <c r="J6"/>
      <c r="K6"/>
      <c r="L6"/>
      <c r="M6"/>
      <c r="N6"/>
      <c r="O6"/>
    </row>
    <row r="7" spans="1:19" ht="20" x14ac:dyDescent="0.4">
      <c r="A7" s="38" t="s">
        <v>1</v>
      </c>
      <c r="B7"/>
      <c r="C7" s="77" t="s">
        <v>31</v>
      </c>
      <c r="D7" s="78"/>
      <c r="E7" s="79"/>
      <c r="F7" s="39" t="s">
        <v>38</v>
      </c>
      <c r="G7" s="40" t="s">
        <v>35</v>
      </c>
      <c r="H7" s="40"/>
      <c r="I7" s="40"/>
      <c r="J7" s="38"/>
      <c r="K7" s="38"/>
      <c r="L7"/>
      <c r="M7"/>
      <c r="N7"/>
      <c r="O7"/>
    </row>
    <row r="8" spans="1:19" ht="14" x14ac:dyDescent="0.3">
      <c r="A8"/>
      <c r="B8"/>
      <c r="C8" s="17"/>
      <c r="D8" s="17"/>
      <c r="E8" s="2"/>
      <c r="F8" s="2"/>
      <c r="G8" s="2"/>
      <c r="H8"/>
      <c r="I8"/>
      <c r="J8"/>
      <c r="K8"/>
      <c r="L8"/>
      <c r="M8"/>
      <c r="N8"/>
      <c r="O8"/>
    </row>
    <row r="9" spans="1:19" ht="14" x14ac:dyDescent="0.3">
      <c r="A9"/>
      <c r="B9"/>
      <c r="C9" s="17"/>
      <c r="D9" s="17"/>
      <c r="E9" s="2"/>
      <c r="F9" s="2"/>
      <c r="G9" s="2"/>
      <c r="H9"/>
      <c r="I9"/>
      <c r="J9"/>
      <c r="K9"/>
      <c r="L9"/>
      <c r="M9"/>
      <c r="N9"/>
      <c r="O9"/>
    </row>
    <row r="10" spans="1:19" ht="20" x14ac:dyDescent="0.4">
      <c r="A10" t="s">
        <v>2</v>
      </c>
      <c r="B10"/>
      <c r="C10" s="18" t="s">
        <v>5</v>
      </c>
      <c r="D10" s="18"/>
      <c r="E10" s="2" t="s">
        <v>2</v>
      </c>
      <c r="F10"/>
      <c r="G10"/>
      <c r="H10"/>
      <c r="I10"/>
      <c r="J10"/>
      <c r="K10"/>
      <c r="L10"/>
      <c r="M10"/>
      <c r="N10"/>
      <c r="O10"/>
    </row>
    <row r="11" spans="1:19" x14ac:dyDescent="0.25">
      <c r="A11"/>
      <c r="B11"/>
      <c r="C11" s="17"/>
      <c r="D11" s="17"/>
      <c r="E11"/>
      <c r="F11"/>
      <c r="G11"/>
      <c r="H11"/>
      <c r="I11"/>
      <c r="J11"/>
      <c r="K11"/>
      <c r="L11"/>
      <c r="M11"/>
      <c r="N11"/>
      <c r="O11"/>
    </row>
    <row r="12" spans="1:19" ht="18" x14ac:dyDescent="0.4">
      <c r="A12"/>
      <c r="B12"/>
      <c r="C12" s="19"/>
      <c r="D12" s="19"/>
      <c r="E12"/>
      <c r="F12"/>
      <c r="G12"/>
      <c r="H12"/>
      <c r="I12"/>
      <c r="J12"/>
      <c r="K12"/>
      <c r="L12"/>
      <c r="M12"/>
      <c r="N12"/>
      <c r="O12"/>
    </row>
    <row r="13" spans="1:19" ht="13" thickBot="1" x14ac:dyDescent="0.3">
      <c r="A13"/>
      <c r="B13"/>
      <c r="C13" s="17"/>
      <c r="D13" s="17"/>
      <c r="E13"/>
      <c r="F13"/>
      <c r="G13"/>
      <c r="H13"/>
      <c r="I13"/>
      <c r="J13"/>
      <c r="K13"/>
      <c r="L13"/>
      <c r="M13"/>
      <c r="N13"/>
      <c r="O13"/>
    </row>
    <row r="14" spans="1:19" ht="14.25" hidden="1" customHeight="1" x14ac:dyDescent="0.25">
      <c r="A14"/>
      <c r="B14"/>
      <c r="C14" s="17"/>
      <c r="D14" s="17"/>
      <c r="E14"/>
      <c r="F14"/>
      <c r="G14"/>
      <c r="H14"/>
      <c r="I14"/>
      <c r="J14"/>
      <c r="K14"/>
      <c r="L14"/>
      <c r="M14"/>
      <c r="N14"/>
      <c r="O14"/>
    </row>
    <row r="15" spans="1:19" ht="33" hidden="1" customHeight="1" x14ac:dyDescent="0.65">
      <c r="A15" s="6" t="s">
        <v>3</v>
      </c>
      <c r="B15"/>
      <c r="C15" s="20"/>
      <c r="D15" s="20"/>
      <c r="E15"/>
      <c r="F15" s="8"/>
      <c r="G15" s="9"/>
      <c r="H15" s="10"/>
      <c r="I15" s="10"/>
      <c r="J15" s="10"/>
      <c r="K15" s="10"/>
      <c r="L15" s="10"/>
      <c r="M15" s="10"/>
      <c r="N15" s="10"/>
      <c r="O15" s="10"/>
      <c r="P15" s="9"/>
      <c r="Q15" s="9"/>
      <c r="R15" s="9"/>
      <c r="S15" s="9"/>
    </row>
    <row r="16" spans="1:19" ht="33" hidden="1" customHeight="1" x14ac:dyDescent="0.65">
      <c r="A16"/>
      <c r="B16"/>
      <c r="C16" s="17"/>
      <c r="D16" s="17"/>
      <c r="E16"/>
      <c r="F16" s="8"/>
      <c r="G16" s="9"/>
      <c r="H16" s="10"/>
      <c r="I16" s="10"/>
      <c r="J16" s="10"/>
      <c r="K16" s="10"/>
      <c r="L16" s="10"/>
      <c r="M16" s="10"/>
      <c r="N16" s="10"/>
      <c r="O16" s="10"/>
      <c r="P16" s="9"/>
      <c r="Q16" s="9"/>
      <c r="R16" s="9"/>
      <c r="S16" s="9"/>
    </row>
    <row r="17" spans="1:16" ht="24" hidden="1" customHeight="1" thickBot="1" x14ac:dyDescent="0.55000000000000004">
      <c r="A17" s="5"/>
      <c r="B17" s="4"/>
      <c r="C17" s="23" t="s">
        <v>23</v>
      </c>
      <c r="D17" s="23"/>
      <c r="E17" s="24"/>
      <c r="F17" s="24"/>
      <c r="G17" s="3"/>
      <c r="H17"/>
      <c r="I17"/>
      <c r="J17"/>
      <c r="K17"/>
      <c r="L17"/>
      <c r="M17"/>
      <c r="N17"/>
      <c r="O17"/>
    </row>
    <row r="18" spans="1:16" ht="32.5" x14ac:dyDescent="0.65">
      <c r="A18" s="14"/>
      <c r="B18" s="21" t="s">
        <v>10</v>
      </c>
      <c r="C18" s="15"/>
      <c r="D18" s="15"/>
      <c r="E18" s="15"/>
      <c r="F18" s="16"/>
      <c r="G18" s="16"/>
      <c r="H18" s="16"/>
      <c r="I18" s="36" t="s">
        <v>29</v>
      </c>
      <c r="J18" s="15"/>
      <c r="K18" s="15"/>
      <c r="L18" s="15"/>
      <c r="M18" s="15"/>
      <c r="N18" s="15"/>
      <c r="O18" s="15"/>
      <c r="P18" s="22"/>
    </row>
    <row r="19" spans="1:16" ht="13" x14ac:dyDescent="0.3">
      <c r="A19" s="80"/>
      <c r="B19" s="62" t="s">
        <v>14</v>
      </c>
      <c r="C19" s="62" t="s">
        <v>20</v>
      </c>
      <c r="D19" s="62" t="s">
        <v>40</v>
      </c>
      <c r="E19" s="62" t="s">
        <v>15</v>
      </c>
      <c r="F19" s="62" t="s">
        <v>21</v>
      </c>
      <c r="G19" s="62" t="s">
        <v>17</v>
      </c>
      <c r="H19" s="62" t="s">
        <v>18</v>
      </c>
      <c r="I19" s="62" t="s">
        <v>32</v>
      </c>
      <c r="J19" s="62" t="s">
        <v>16</v>
      </c>
      <c r="K19" s="62" t="s">
        <v>39</v>
      </c>
      <c r="L19" s="62" t="s">
        <v>33</v>
      </c>
      <c r="M19" s="62" t="s">
        <v>34</v>
      </c>
      <c r="N19" s="64" t="s">
        <v>36</v>
      </c>
      <c r="O19" s="64" t="s">
        <v>37</v>
      </c>
      <c r="P19" s="64" t="s">
        <v>22</v>
      </c>
    </row>
    <row r="20" spans="1:16" s="65" customFormat="1" ht="13.5" customHeight="1" x14ac:dyDescent="0.25">
      <c r="A20" s="81">
        <v>1</v>
      </c>
      <c r="B20" s="28" t="s">
        <v>42</v>
      </c>
      <c r="C20" s="28" t="s">
        <v>43</v>
      </c>
      <c r="D20" s="30" t="s">
        <v>41</v>
      </c>
      <c r="E20" s="63" t="str">
        <f>B20&amp;"-"&amp;C20</f>
        <v>JN00013S-42-B02</v>
      </c>
      <c r="F20" s="63" t="str">
        <f t="shared" ref="F20:F21" si="0">E20</f>
        <v>JN00013S-42-B02</v>
      </c>
      <c r="G20" s="26" t="s">
        <v>49</v>
      </c>
      <c r="H20" s="26" t="s">
        <v>50</v>
      </c>
      <c r="I20" s="28" t="s">
        <v>46</v>
      </c>
      <c r="J20" s="28">
        <v>120</v>
      </c>
      <c r="K20" s="63"/>
      <c r="L20" s="28">
        <v>1752473</v>
      </c>
      <c r="M20" s="28" t="s">
        <v>48</v>
      </c>
      <c r="N20" s="63"/>
      <c r="O20" s="41"/>
      <c r="P20" s="71"/>
    </row>
    <row r="21" spans="1:16" s="65" customFormat="1" ht="13.5" customHeight="1" x14ac:dyDescent="0.25">
      <c r="A21" s="81">
        <v>2</v>
      </c>
      <c r="B21" s="28" t="s">
        <v>44</v>
      </c>
      <c r="C21" s="28" t="s">
        <v>45</v>
      </c>
      <c r="D21" s="30" t="s">
        <v>41</v>
      </c>
      <c r="E21" s="63" t="str">
        <f>B21&amp;"-"&amp;C21</f>
        <v>MN0013S-004</v>
      </c>
      <c r="F21" s="63" t="str">
        <f t="shared" si="0"/>
        <v>MN0013S-004</v>
      </c>
      <c r="G21" s="26" t="s">
        <v>49</v>
      </c>
      <c r="H21" s="26" t="s">
        <v>51</v>
      </c>
      <c r="I21" s="28" t="s">
        <v>47</v>
      </c>
      <c r="J21" s="28">
        <v>120</v>
      </c>
      <c r="K21" s="63"/>
      <c r="L21" s="28">
        <v>1752473</v>
      </c>
      <c r="M21" s="28" t="s">
        <v>48</v>
      </c>
      <c r="N21" s="63"/>
      <c r="O21" s="41"/>
      <c r="P21" s="71"/>
    </row>
    <row r="22" spans="1:16" s="65" customFormat="1" ht="13.5" customHeight="1" x14ac:dyDescent="0.25">
      <c r="A22" s="73"/>
      <c r="B22" s="63"/>
      <c r="C22" s="70"/>
      <c r="D22" s="30"/>
      <c r="E22" s="63"/>
      <c r="F22" s="63"/>
      <c r="G22" s="26"/>
      <c r="H22" s="26"/>
      <c r="I22" s="27"/>
      <c r="J22" s="28"/>
      <c r="K22" s="63"/>
      <c r="L22" s="28"/>
      <c r="M22" s="72"/>
      <c r="N22" s="63"/>
      <c r="O22" s="41"/>
      <c r="P22" s="71"/>
    </row>
    <row r="23" spans="1:16" ht="15.75" customHeight="1" x14ac:dyDescent="0.25">
      <c r="B23" s="42"/>
      <c r="C23" s="42"/>
      <c r="D23" s="42"/>
    </row>
    <row r="24" spans="1:16" ht="20" x14ac:dyDescent="0.4">
      <c r="A24" s="43" t="s">
        <v>4</v>
      </c>
      <c r="B24" s="42"/>
      <c r="C24" s="42"/>
      <c r="D24" s="42"/>
    </row>
    <row r="25" spans="1:16" ht="15.5" x14ac:dyDescent="0.35">
      <c r="A25" s="44"/>
      <c r="B25" s="4"/>
      <c r="C25" s="4"/>
      <c r="D25" s="4"/>
    </row>
    <row r="26" spans="1:16" ht="23" x14ac:dyDescent="0.5">
      <c r="A26" s="45" t="str">
        <f>E4</f>
        <v>SEE BELOW</v>
      </c>
    </row>
    <row r="27" spans="1:16" x14ac:dyDescent="0.25">
      <c r="E27" s="42"/>
      <c r="G27" s="42"/>
      <c r="H27" s="42"/>
    </row>
    <row r="28" spans="1:16" ht="23" x14ac:dyDescent="0.5">
      <c r="B28" s="46"/>
      <c r="C28" s="42"/>
      <c r="D28" s="42"/>
      <c r="F28" s="42"/>
    </row>
    <row r="29" spans="1:16" ht="23" x14ac:dyDescent="0.5">
      <c r="A29" s="46" t="s">
        <v>24</v>
      </c>
    </row>
    <row r="31" spans="1:16" ht="13" thickBot="1" x14ac:dyDescent="0.3"/>
    <row r="32" spans="1:16" ht="13" thickBot="1" x14ac:dyDescent="0.3">
      <c r="E32" s="47"/>
    </row>
    <row r="33" spans="1:6" ht="13.5" thickBot="1" x14ac:dyDescent="0.35">
      <c r="B33" s="47"/>
      <c r="C33" s="47"/>
      <c r="D33" s="66"/>
      <c r="E33" s="32" t="s">
        <v>9</v>
      </c>
      <c r="F33" s="48"/>
    </row>
    <row r="34" spans="1:6" ht="13" x14ac:dyDescent="0.3">
      <c r="A34" s="47"/>
      <c r="B34" s="32" t="s">
        <v>6</v>
      </c>
      <c r="C34" s="32" t="s">
        <v>7</v>
      </c>
      <c r="D34" s="67"/>
      <c r="E34" s="35" t="str">
        <f>INDEX($A$20:$J$21,$A35,4)</f>
        <v>-</v>
      </c>
      <c r="F34" s="31" t="s">
        <v>8</v>
      </c>
    </row>
    <row r="35" spans="1:6" ht="16" thickBot="1" x14ac:dyDescent="0.4">
      <c r="A35" s="25">
        <v>1</v>
      </c>
      <c r="B35" s="33" t="str">
        <f>INDEX($A$20:$J$21,$A35,2)</f>
        <v>JN00013S-42</v>
      </c>
      <c r="C35" s="34" t="str">
        <f>INDEX($A$20:$J$21,$A35,3)</f>
        <v>B02</v>
      </c>
      <c r="D35" s="68"/>
      <c r="E35" s="49"/>
      <c r="F35" s="33" t="str">
        <f>INDEX($A$20:$J$21,$A35,9)</f>
        <v>194866624378</v>
      </c>
    </row>
    <row r="36" spans="1:6" ht="15.5" x14ac:dyDescent="0.35">
      <c r="A36" s="50"/>
      <c r="B36" s="51"/>
      <c r="C36" s="51"/>
      <c r="D36" s="51"/>
      <c r="E36" s="11"/>
      <c r="F36" s="52"/>
    </row>
    <row r="37" spans="1:6" ht="15.5" x14ac:dyDescent="0.35">
      <c r="A37" s="53"/>
      <c r="B37" s="54" t="s">
        <v>25</v>
      </c>
      <c r="C37" s="54"/>
      <c r="D37" s="54"/>
      <c r="E37" s="11"/>
      <c r="F37" s="55"/>
    </row>
    <row r="38" spans="1:6" ht="15.5" x14ac:dyDescent="0.35">
      <c r="A38" s="53"/>
      <c r="B38" s="54" t="s">
        <v>26</v>
      </c>
      <c r="C38" s="54"/>
      <c r="D38" s="54"/>
      <c r="E38" s="12"/>
      <c r="F38" s="55"/>
    </row>
    <row r="39" spans="1:6" ht="15.5" x14ac:dyDescent="0.35">
      <c r="A39" s="53"/>
      <c r="B39" s="54" t="s">
        <v>27</v>
      </c>
      <c r="C39" s="54"/>
      <c r="D39" s="54"/>
      <c r="E39" s="13"/>
      <c r="F39" s="55"/>
    </row>
    <row r="40" spans="1:6" ht="15.5" x14ac:dyDescent="0.35">
      <c r="A40" s="53"/>
      <c r="B40" s="54" t="s">
        <v>28</v>
      </c>
      <c r="C40" s="54"/>
      <c r="D40" s="54"/>
      <c r="E40" s="56"/>
      <c r="F40" s="55"/>
    </row>
    <row r="41" spans="1:6" ht="15.5" x14ac:dyDescent="0.35">
      <c r="A41" s="53"/>
      <c r="B41" s="57" t="str">
        <f>$E$5</f>
        <v>SEE BELOW</v>
      </c>
      <c r="C41" s="12"/>
      <c r="D41" s="12"/>
      <c r="E41" s="56"/>
      <c r="F41" s="55"/>
    </row>
    <row r="42" spans="1:6" ht="15.5" x14ac:dyDescent="0.35">
      <c r="A42" s="53"/>
      <c r="B42" s="57" t="str">
        <f>"SKU#: "&amp;INDEX($A$20:$J$21,A35,8)</f>
        <v>SKU#: SILVER DOG TAG</v>
      </c>
      <c r="E42" s="56"/>
      <c r="F42" s="55"/>
    </row>
    <row r="43" spans="1:6" ht="15.5" x14ac:dyDescent="0.35">
      <c r="A43" s="53"/>
      <c r="B43" s="58" t="e">
        <f>"DEPT#: "&amp;TEXT(#REF!,"000")</f>
        <v>#REF!</v>
      </c>
      <c r="C43" s="12"/>
      <c r="D43" s="12"/>
      <c r="E43" s="56"/>
      <c r="F43" s="55"/>
    </row>
    <row r="44" spans="1:6" ht="15.5" x14ac:dyDescent="0.35">
      <c r="A44" s="53"/>
      <c r="B44" s="57" t="s">
        <v>11</v>
      </c>
      <c r="C44" s="54" t="str">
        <f>INDEX($A$20:$J$21,A35,5)&amp;"/"&amp;INDEX($A$20:$J$21,A35,6)</f>
        <v>JN00013S-42-B02/JN00013S-42-B02</v>
      </c>
      <c r="D44" s="54"/>
      <c r="E44" s="56"/>
      <c r="F44" s="55"/>
    </row>
    <row r="45" spans="1:6" ht="15.5" x14ac:dyDescent="0.35">
      <c r="A45" s="53"/>
      <c r="B45" s="57" t="s">
        <v>12</v>
      </c>
      <c r="C45" s="54" t="str">
        <f>INDEX($A$20:$I21,A35,7)</f>
        <v>Silver</v>
      </c>
      <c r="D45" s="54"/>
      <c r="E45" s="56"/>
      <c r="F45" s="55"/>
    </row>
    <row r="46" spans="1:6" ht="15.5" x14ac:dyDescent="0.35">
      <c r="A46" s="53"/>
      <c r="B46" s="57" t="s">
        <v>19</v>
      </c>
      <c r="C46" s="54"/>
      <c r="D46" s="54"/>
      <c r="E46" s="56"/>
      <c r="F46" s="55"/>
    </row>
    <row r="47" spans="1:6" ht="16" thickBot="1" x14ac:dyDescent="0.4">
      <c r="A47" s="53"/>
      <c r="B47" s="57" t="s">
        <v>13</v>
      </c>
      <c r="C47" s="54"/>
      <c r="D47" s="54"/>
      <c r="E47" s="59"/>
      <c r="F47" s="55"/>
    </row>
    <row r="48" spans="1:6" ht="13.5" thickBot="1" x14ac:dyDescent="0.35">
      <c r="A48" s="53"/>
      <c r="B48" s="60"/>
      <c r="C48" s="60"/>
      <c r="D48" s="69"/>
      <c r="F48" s="7"/>
    </row>
    <row r="49" spans="1:1" ht="13" thickBot="1" x14ac:dyDescent="0.3">
      <c r="A49" s="61"/>
    </row>
  </sheetData>
  <autoFilter ref="A19:S21" xr:uid="{00000000-0001-0000-0000-000000000000}"/>
  <mergeCells count="2">
    <mergeCell ref="F2:H2"/>
    <mergeCell ref="C7:E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146050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146050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2025-01-13T20:00:44Z</cp:lastPrinted>
  <dcterms:created xsi:type="dcterms:W3CDTF">2008-06-06T20:54:57Z</dcterms:created>
  <dcterms:modified xsi:type="dcterms:W3CDTF">2026-04-17T17:32:04Z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