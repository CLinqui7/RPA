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KarinaZelaya\Downloads\"/>
    </mc:Choice>
  </mc:AlternateContent>
  <xr:revisionPtr revIDLastSave="0" documentId="13_ncr:1_{C50A42EF-DDAB-4CC5-9DF4-645D863259BD}" xr6:coauthVersionLast="47" xr6:coauthVersionMax="47" xr10:uidLastSave="{00000000-0000-0000-0000-000000000000}"/>
  <bookViews>
    <workbookView xWindow="-28920" yWindow="-9855" windowWidth="29040" windowHeight="15720" tabRatio="599" xr2:uid="{00000000-000D-0000-FFFF-FFFF00000000}"/>
  </bookViews>
  <sheets>
    <sheet name="BREAKDOWN" sheetId="1" r:id="rId1"/>
  </sheets>
  <definedNames>
    <definedName name="_xlnm._FilterDatabase" localSheetId="0" hidden="1">BREAKDOWN!$A$1:$U$9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L9" i="1"/>
  <c r="J10" i="1"/>
  <c r="K10" i="1"/>
  <c r="L10" i="1"/>
  <c r="J11" i="1"/>
  <c r="K11" i="1"/>
  <c r="L11" i="1"/>
  <c r="J12" i="1"/>
  <c r="K12" i="1"/>
  <c r="L12" i="1"/>
  <c r="M12" i="1"/>
  <c r="J13" i="1"/>
  <c r="K13" i="1"/>
  <c r="L13" i="1"/>
  <c r="J14" i="1"/>
  <c r="K14" i="1"/>
  <c r="L14" i="1"/>
  <c r="M14" i="1"/>
  <c r="J15" i="1"/>
  <c r="K15" i="1"/>
  <c r="L15" i="1"/>
  <c r="J16" i="1"/>
  <c r="K16" i="1"/>
  <c r="L16" i="1"/>
  <c r="J17" i="1"/>
  <c r="K17" i="1"/>
  <c r="M17" i="1"/>
  <c r="J18" i="1"/>
  <c r="K18" i="1"/>
  <c r="L18" i="1"/>
  <c r="J19" i="1"/>
  <c r="K19" i="1"/>
  <c r="L19" i="1"/>
  <c r="J20" i="1"/>
  <c r="K20" i="1"/>
  <c r="L20" i="1"/>
  <c r="M20" i="1"/>
  <c r="N20" i="1"/>
  <c r="J21" i="1"/>
  <c r="K21" i="1"/>
  <c r="L21" i="1"/>
  <c r="J22" i="1"/>
  <c r="K22" i="1"/>
  <c r="L22" i="1"/>
  <c r="J23" i="1"/>
  <c r="K23" i="1"/>
  <c r="J24" i="1"/>
  <c r="K24" i="1"/>
  <c r="L24" i="1"/>
  <c r="M24" i="1"/>
  <c r="J25" i="1"/>
  <c r="K25" i="1"/>
  <c r="L25" i="1"/>
  <c r="J26" i="1"/>
  <c r="K26" i="1"/>
  <c r="L26" i="1"/>
  <c r="J27" i="1"/>
  <c r="K27" i="1"/>
  <c r="L27" i="1"/>
  <c r="J5" i="1"/>
  <c r="M5" i="1" s="1"/>
  <c r="N5" i="1" s="1"/>
  <c r="K5" i="1"/>
  <c r="L5" i="1" s="1"/>
  <c r="J6" i="1"/>
  <c r="M6" i="1" s="1"/>
  <c r="N6" i="1" s="1"/>
  <c r="K6" i="1"/>
  <c r="L6" i="1" s="1"/>
  <c r="J7" i="1"/>
  <c r="M7" i="1" s="1"/>
  <c r="N7" i="1" s="1"/>
  <c r="K7" i="1"/>
  <c r="L7" i="1" s="1"/>
  <c r="J8" i="1"/>
  <c r="M8" i="1" s="1"/>
  <c r="N8" i="1" s="1"/>
  <c r="K8" i="1"/>
  <c r="L8" i="1" s="1"/>
  <c r="K4" i="1"/>
  <c r="L4" i="1" s="1"/>
  <c r="J4" i="1"/>
  <c r="M4" i="1" s="1"/>
  <c r="N4" i="1" s="1"/>
  <c r="K3" i="1"/>
  <c r="L3" i="1" s="1"/>
  <c r="J3" i="1"/>
  <c r="M3" i="1" s="1"/>
  <c r="N3" i="1" s="1"/>
  <c r="K2" i="1"/>
  <c r="L2" i="1" s="1"/>
  <c r="J2" i="1"/>
  <c r="M2" i="1" s="1"/>
  <c r="N2" i="1" s="1"/>
  <c r="M13" i="1" l="1"/>
  <c r="N13" i="1" s="1"/>
  <c r="M16" i="1"/>
  <c r="N12" i="1"/>
  <c r="L23" i="1"/>
  <c r="M23" i="1"/>
  <c r="N23" i="1" s="1"/>
  <c r="M27" i="1"/>
  <c r="M26" i="1"/>
  <c r="M11" i="1"/>
  <c r="M19" i="1"/>
  <c r="N19" i="1" s="1"/>
  <c r="M21" i="1"/>
  <c r="M22" i="1"/>
  <c r="N22" i="1" s="1"/>
  <c r="M9" i="1"/>
  <c r="N9" i="1" s="1"/>
  <c r="M10" i="1"/>
  <c r="N10" i="1" s="1"/>
  <c r="L17" i="1"/>
  <c r="N11" i="1"/>
  <c r="N24" i="1"/>
  <c r="N26" i="1"/>
  <c r="N27" i="1"/>
  <c r="M18" i="1"/>
  <c r="N18" i="1" s="1"/>
  <c r="M25" i="1"/>
  <c r="N25" i="1" s="1"/>
  <c r="N14" i="1"/>
  <c r="M15" i="1"/>
  <c r="N15" i="1" s="1"/>
  <c r="N17" i="1"/>
  <c r="N21" i="1" l="1"/>
  <c r="N16" i="1"/>
</calcChain>
</file>

<file path=xl/sharedStrings.xml><?xml version="1.0" encoding="utf-8"?>
<sst xmlns="http://schemas.openxmlformats.org/spreadsheetml/2006/main" count="255" uniqueCount="75">
  <si>
    <t>PICKTKT</t>
  </si>
  <si>
    <t>CTRL_NO</t>
  </si>
  <si>
    <t>ORDER_NO</t>
  </si>
  <si>
    <t>CUSTOMER</t>
  </si>
  <si>
    <t>START_DATE</t>
  </si>
  <si>
    <t>CANCEL_DATE</t>
  </si>
  <si>
    <t>STYLE</t>
  </si>
  <si>
    <t>COLOR</t>
  </si>
  <si>
    <t>PICK_QTY</t>
  </si>
  <si>
    <t>CARTONS</t>
  </si>
  <si>
    <t>LBS</t>
  </si>
  <si>
    <t>KG</t>
  </si>
  <si>
    <t>CUBE</t>
  </si>
  <si>
    <t>CBM</t>
  </si>
  <si>
    <t>SALES_PRICE</t>
  </si>
  <si>
    <t>COST BREAKDOWN</t>
  </si>
  <si>
    <t>COMPOSITION</t>
  </si>
  <si>
    <t>Country of Origin</t>
  </si>
  <si>
    <t>Fibre Content/Ingredients</t>
  </si>
  <si>
    <t>Care/Usage Instructions</t>
  </si>
  <si>
    <t>WINNERS</t>
  </si>
  <si>
    <t>CHINA</t>
  </si>
  <si>
    <t>DESC</t>
  </si>
  <si>
    <t>40 438944</t>
  </si>
  <si>
    <t>40 438954</t>
  </si>
  <si>
    <t>40 438957</t>
  </si>
  <si>
    <t>40 438960</t>
  </si>
  <si>
    <t>40 438961</t>
  </si>
  <si>
    <t>40 438969</t>
  </si>
  <si>
    <t>40 938972</t>
  </si>
  <si>
    <t>EHH336-42</t>
  </si>
  <si>
    <t>EHH357-26</t>
  </si>
  <si>
    <t>EHH358-26</t>
  </si>
  <si>
    <t>EHH359-26</t>
  </si>
  <si>
    <t>EHH360-26</t>
  </si>
  <si>
    <t>EHH361-26</t>
  </si>
  <si>
    <t>EHH362-26</t>
  </si>
  <si>
    <t>EHH415-42</t>
  </si>
  <si>
    <t>EHH381-42</t>
  </si>
  <si>
    <t>EHH411A-42</t>
  </si>
  <si>
    <t>EHBX067-09</t>
  </si>
  <si>
    <t>EHBX070-09</t>
  </si>
  <si>
    <t>EHH164-56</t>
  </si>
  <si>
    <t>302</t>
  </si>
  <si>
    <t>003</t>
  </si>
  <si>
    <t>0ML</t>
  </si>
  <si>
    <t>009</t>
  </si>
  <si>
    <t>085</t>
  </si>
  <si>
    <t>BMT</t>
  </si>
  <si>
    <t>060</t>
  </si>
  <si>
    <t>170</t>
  </si>
  <si>
    <t>EH HOLLIS KISSLOCK FRAME BAG</t>
  </si>
  <si>
    <t>EH HELGA TOTE BAG</t>
  </si>
  <si>
    <t>EH DONNA CROSSBODY BAG</t>
  </si>
  <si>
    <t>EH HOLLAND TOTE BAG</t>
  </si>
  <si>
    <t>EH HAZEL TOTE BAG</t>
  </si>
  <si>
    <t>EH HELOISE TOTE BAG</t>
  </si>
  <si>
    <t>EH HEATHER TOTE BAG</t>
  </si>
  <si>
    <t>EH SKYLAR TOTE BAG</t>
  </si>
  <si>
    <t>EH HONEY PETITE PARIS SATCHEL</t>
  </si>
  <si>
    <t>EH ARLENE SMALL SATCHEL</t>
  </si>
  <si>
    <t>EH EDITH BAGUETTE BAG SHOULDER STRAP &amp; CHARMS</t>
  </si>
  <si>
    <t>EH DALINDA BAGUETTE BAG, STRAP &amp; KEY CHAIN</t>
  </si>
  <si>
    <t>EH ELLIE BAGUETTE BAG, STRAP &amp; KEY CHAIN</t>
  </si>
  <si>
    <t>EH CROSSBODY BAG</t>
  </si>
  <si>
    <r>
      <t>1</t>
    </r>
    <r>
      <rPr>
        <sz val="11"/>
        <color theme="1"/>
        <rFont val="Calibri"/>
        <family val="3"/>
        <charset val="134"/>
        <scheme val="minor"/>
      </rPr>
      <t>00% PU</t>
    </r>
    <phoneticPr fontId="14" type="noConversion"/>
  </si>
  <si>
    <t>EHH414-42</t>
    <phoneticPr fontId="14" type="noConversion"/>
  </si>
  <si>
    <t>EHH357-26</t>
    <phoneticPr fontId="14" type="noConversion"/>
  </si>
  <si>
    <t>EHH358-26</t>
    <phoneticPr fontId="14" type="noConversion"/>
  </si>
  <si>
    <t>EHH360-26</t>
    <phoneticPr fontId="14" type="noConversion"/>
  </si>
  <si>
    <t>EHH411A-42</t>
    <phoneticPr fontId="14" type="noConversion"/>
  </si>
  <si>
    <t>EHBX052-26</t>
    <phoneticPr fontId="14" type="noConversion"/>
  </si>
  <si>
    <t>EHH336-42</t>
    <phoneticPr fontId="14" type="noConversion"/>
  </si>
  <si>
    <t>100% canvas</t>
  </si>
  <si>
    <t xml:space="preserve">Use a soft, dry cloth or gentle brush to remove loose dirt from the surface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</si>
</sst>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Bs.S&quot;* #,##0.00_ ;_ &quot;Bs.S&quot;* \-#,##0.00_ ;_ &quot;Bs.S&quot;* &quot;-&quot;??_ ;_ @_ "/>
    <numFmt numFmtId="165" formatCode="mm/dd/yy"/>
    <numFmt numFmtId="166" formatCode="_([$$-409]* #,##0.00_);_([$$-409]* \(#,##0.00\);_([$$-409]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0" fontId="5" fillId="0" borderId="0"/>
    <xf numFmtId="0" fontId="12" fillId="0" borderId="0"/>
    <xf numFmtId="0" fontId="5" fillId="0" borderId="0"/>
  </cellStyleXfs>
  <cellXfs count="47">
    <xf numFmtId="0" fontId="0" fillId="0" borderId="0" xfId="0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9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7" fillId="0" borderId="0" xfId="0" applyNumberFormat="1" applyFont="1" applyAlignment="1">
      <alignment vertic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0" fillId="5" borderId="1" xfId="1" applyNumberFormat="1" applyFont="1" applyFill="1" applyBorder="1" applyAlignment="1">
      <alignment horizontal="center" vertical="center"/>
    </xf>
    <xf numFmtId="166" fontId="7" fillId="5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9" fillId="6" borderId="1" xfId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5" fillId="0" borderId="0" xfId="0" applyFont="1"/>
  </cellXfs>
  <cellStyles count="9">
    <cellStyle name="Currency" xfId="1" builtinId="4"/>
    <cellStyle name="Currency 2" xfId="2" xr:uid="{00000000-0005-0000-0000-000001000000}"/>
    <cellStyle name="Currency 2 2" xfId="4" xr:uid="{71758F89-051B-450A-80FA-665ADAC8941C}"/>
    <cellStyle name="Currency 3" xfId="3" xr:uid="{6672487E-0B6C-4E37-8A67-31D3F63816F2}"/>
    <cellStyle name="Normal" xfId="0" builtinId="0"/>
    <cellStyle name="常规 2" xfId="5" xr:uid="{0312BEB7-EBE5-43D2-BACD-E9FC71DB7BEC}"/>
    <cellStyle name="常规 3" xfId="6" xr:uid="{B09371FB-BED5-4311-A95C-C0F94A6B4721}"/>
    <cellStyle name="常规 3 2" xfId="8" xr:uid="{E03EDC12-88C6-4FBA-BC01-46835D687441}"/>
    <cellStyle name="常规 4" xfId="7" xr:uid="{8DC2FD1C-42AE-4C1A-A7B3-AE1B9DDD2157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topLeftCell="M1" zoomScale="120" zoomScaleNormal="120" workbookViewId="0">
      <selection activeCell="O23" sqref="O23"/>
    </sheetView>
  </sheetViews>
  <sheetFormatPr defaultColWidth="9.1796875" defaultRowHeight="14.5"/>
  <cols>
    <col min="1" max="1" width="9" style="1" customWidth="1"/>
    <col min="2" max="2" width="9.453125" style="1" customWidth="1"/>
    <col min="3" max="3" width="11.1796875" style="1" customWidth="1"/>
    <col min="4" max="4" width="11.453125" style="1" customWidth="1"/>
    <col min="5" max="5" width="13.1796875" style="1" customWidth="1"/>
    <col min="6" max="6" width="14.453125" style="1" customWidth="1"/>
    <col min="7" max="7" width="16" style="2" bestFit="1" customWidth="1"/>
    <col min="8" max="8" width="7.453125" style="1" customWidth="1"/>
    <col min="9" max="9" width="10.1796875" style="1" customWidth="1"/>
    <col min="10" max="10" width="10" style="1" customWidth="1"/>
    <col min="11" max="11" width="4.7265625" style="1" customWidth="1"/>
    <col min="12" max="12" width="12" style="1" customWidth="1"/>
    <col min="13" max="13" width="6" style="1" customWidth="1"/>
    <col min="14" max="14" width="8" style="1" customWidth="1"/>
    <col min="15" max="15" width="43.26953125" style="1" customWidth="1"/>
    <col min="16" max="16" width="15" style="1" customWidth="1"/>
    <col min="17" max="17" width="20" style="1" customWidth="1"/>
    <col min="18" max="18" width="24.26953125" style="1" customWidth="1"/>
    <col min="19" max="19" width="35.81640625" style="1" customWidth="1"/>
    <col min="20" max="20" width="31.7265625" style="2" customWidth="1"/>
    <col min="21" max="21" width="21.453125" style="2" bestFit="1" customWidth="1"/>
    <col min="22" max="16384" width="9.1796875" style="3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22</v>
      </c>
      <c r="P1" s="8" t="s">
        <v>14</v>
      </c>
      <c r="Q1" s="8" t="s">
        <v>17</v>
      </c>
      <c r="R1" s="42" t="s">
        <v>18</v>
      </c>
      <c r="S1" s="8" t="s">
        <v>19</v>
      </c>
      <c r="T1" s="5" t="s">
        <v>16</v>
      </c>
      <c r="U1" s="5" t="s">
        <v>15</v>
      </c>
    </row>
    <row r="2" spans="1:21" ht="16">
      <c r="A2" s="6">
        <v>1760221</v>
      </c>
      <c r="B2" s="6">
        <v>3788194</v>
      </c>
      <c r="C2" s="12" t="s">
        <v>23</v>
      </c>
      <c r="D2" s="6" t="s">
        <v>20</v>
      </c>
      <c r="E2" s="7">
        <v>46168</v>
      </c>
      <c r="F2" s="14">
        <v>46175</v>
      </c>
      <c r="G2" s="41" t="s">
        <v>30</v>
      </c>
      <c r="H2" s="6" t="s">
        <v>43</v>
      </c>
      <c r="I2" s="6">
        <v>200</v>
      </c>
      <c r="J2" s="10">
        <f t="shared" ref="J2:J4" si="0">+ROUNDUP((I2/48),0)</f>
        <v>5</v>
      </c>
      <c r="K2" s="9">
        <f t="shared" ref="K2:K4" si="1">I2*0.56</f>
        <v>112.00000000000001</v>
      </c>
      <c r="L2" s="9">
        <f t="shared" ref="L2:L4" si="2">K2/2.20456</f>
        <v>50.803788511086125</v>
      </c>
      <c r="M2" s="9">
        <f t="shared" ref="M2:M4" si="3">J2*3</f>
        <v>15</v>
      </c>
      <c r="N2" s="9">
        <f t="shared" ref="N2:N4" si="4">M2*0.02832</f>
        <v>0.42480000000000001</v>
      </c>
      <c r="O2" s="9" t="s">
        <v>51</v>
      </c>
      <c r="P2" s="37">
        <v>14</v>
      </c>
      <c r="Q2" s="11" t="s">
        <v>21</v>
      </c>
      <c r="R2" s="43" t="s">
        <v>65</v>
      </c>
      <c r="S2" s="46" t="s">
        <v>74</v>
      </c>
      <c r="T2" s="43" t="s">
        <v>65</v>
      </c>
      <c r="U2" s="37">
        <v>14</v>
      </c>
    </row>
    <row r="3" spans="1:21" ht="16">
      <c r="A3" s="6">
        <v>1760221</v>
      </c>
      <c r="B3" s="6">
        <v>3788194</v>
      </c>
      <c r="C3" s="6" t="s">
        <v>23</v>
      </c>
      <c r="D3" s="6" t="s">
        <v>20</v>
      </c>
      <c r="E3" s="7">
        <v>46168</v>
      </c>
      <c r="F3" s="14">
        <v>46175</v>
      </c>
      <c r="G3" s="44" t="s">
        <v>66</v>
      </c>
      <c r="H3" s="6" t="s">
        <v>44</v>
      </c>
      <c r="I3" s="6">
        <v>200</v>
      </c>
      <c r="J3" s="10">
        <f t="shared" si="0"/>
        <v>5</v>
      </c>
      <c r="K3" s="9">
        <f t="shared" si="1"/>
        <v>112.00000000000001</v>
      </c>
      <c r="L3" s="9">
        <f t="shared" si="2"/>
        <v>50.803788511086125</v>
      </c>
      <c r="M3" s="9">
        <f t="shared" si="3"/>
        <v>15</v>
      </c>
      <c r="N3" s="9">
        <f t="shared" si="4"/>
        <v>0.42480000000000001</v>
      </c>
      <c r="O3" s="9" t="s">
        <v>53</v>
      </c>
      <c r="P3" s="37">
        <v>14</v>
      </c>
      <c r="Q3" s="11" t="s">
        <v>21</v>
      </c>
      <c r="R3" s="43" t="s">
        <v>65</v>
      </c>
      <c r="S3" s="46" t="s">
        <v>74</v>
      </c>
      <c r="T3" s="43" t="s">
        <v>65</v>
      </c>
      <c r="U3" s="37">
        <v>14</v>
      </c>
    </row>
    <row r="4" spans="1:21" s="21" customFormat="1" ht="16">
      <c r="A4" s="15">
        <v>1760222</v>
      </c>
      <c r="B4" s="15">
        <v>3788195</v>
      </c>
      <c r="C4" s="16" t="s">
        <v>24</v>
      </c>
      <c r="D4" s="15" t="s">
        <v>20</v>
      </c>
      <c r="E4" s="17">
        <v>46168</v>
      </c>
      <c r="F4" s="18">
        <v>46175</v>
      </c>
      <c r="G4" s="45" t="s">
        <v>67</v>
      </c>
      <c r="H4" s="15" t="s">
        <v>45</v>
      </c>
      <c r="I4" s="15">
        <v>200</v>
      </c>
      <c r="J4" s="10">
        <f t="shared" si="0"/>
        <v>5</v>
      </c>
      <c r="K4" s="19">
        <f t="shared" si="1"/>
        <v>112.00000000000001</v>
      </c>
      <c r="L4" s="19">
        <f t="shared" si="2"/>
        <v>50.803788511086125</v>
      </c>
      <c r="M4" s="19">
        <f t="shared" si="3"/>
        <v>15</v>
      </c>
      <c r="N4" s="19">
        <f t="shared" si="4"/>
        <v>0.42480000000000001</v>
      </c>
      <c r="O4" s="19" t="s">
        <v>52</v>
      </c>
      <c r="P4" s="38">
        <v>14</v>
      </c>
      <c r="Q4" s="20" t="s">
        <v>21</v>
      </c>
      <c r="R4" s="43" t="s">
        <v>73</v>
      </c>
      <c r="S4" s="46" t="s">
        <v>74</v>
      </c>
      <c r="T4" s="43" t="s">
        <v>73</v>
      </c>
      <c r="U4" s="38">
        <v>14</v>
      </c>
    </row>
    <row r="5" spans="1:21" s="21" customFormat="1" ht="16">
      <c r="A5" s="15">
        <v>1760222</v>
      </c>
      <c r="B5" s="15">
        <v>3788195</v>
      </c>
      <c r="C5" s="15" t="s">
        <v>24</v>
      </c>
      <c r="D5" s="15" t="s">
        <v>20</v>
      </c>
      <c r="E5" s="17">
        <v>46168</v>
      </c>
      <c r="F5" s="18">
        <v>46175</v>
      </c>
      <c r="G5" s="45" t="s">
        <v>68</v>
      </c>
      <c r="H5" s="15" t="s">
        <v>44</v>
      </c>
      <c r="I5" s="15">
        <v>350</v>
      </c>
      <c r="J5" s="10">
        <f t="shared" ref="J5:J8" si="5">+ROUNDUP((I5/48),0)</f>
        <v>8</v>
      </c>
      <c r="K5" s="19">
        <f t="shared" ref="K5:K8" si="6">I5*0.56</f>
        <v>196.00000000000003</v>
      </c>
      <c r="L5" s="19">
        <f t="shared" ref="L5:L8" si="7">K5/2.20456</f>
        <v>88.906629894400709</v>
      </c>
      <c r="M5" s="19">
        <f t="shared" ref="M5:M8" si="8">J5*3</f>
        <v>24</v>
      </c>
      <c r="N5" s="19">
        <f t="shared" ref="N5:N8" si="9">M5*0.02832</f>
        <v>0.67968000000000006</v>
      </c>
      <c r="O5" s="19" t="s">
        <v>54</v>
      </c>
      <c r="P5" s="38">
        <v>14</v>
      </c>
      <c r="Q5" s="20" t="s">
        <v>21</v>
      </c>
      <c r="R5" s="43" t="s">
        <v>73</v>
      </c>
      <c r="S5" s="46" t="s">
        <v>74</v>
      </c>
      <c r="T5" s="43" t="s">
        <v>73</v>
      </c>
      <c r="U5" s="38">
        <v>14</v>
      </c>
    </row>
    <row r="6" spans="1:21" s="21" customFormat="1" ht="16">
      <c r="A6" s="15">
        <v>1760222</v>
      </c>
      <c r="B6" s="15">
        <v>3788195</v>
      </c>
      <c r="C6" s="15" t="s">
        <v>24</v>
      </c>
      <c r="D6" s="15" t="s">
        <v>20</v>
      </c>
      <c r="E6" s="17">
        <v>46168</v>
      </c>
      <c r="F6" s="18">
        <v>46175</v>
      </c>
      <c r="G6" s="16" t="s">
        <v>33</v>
      </c>
      <c r="H6" s="15" t="s">
        <v>46</v>
      </c>
      <c r="I6" s="15">
        <v>200</v>
      </c>
      <c r="J6" s="10">
        <f t="shared" si="5"/>
        <v>5</v>
      </c>
      <c r="K6" s="19">
        <f t="shared" si="6"/>
        <v>112.00000000000001</v>
      </c>
      <c r="L6" s="19">
        <f t="shared" si="7"/>
        <v>50.803788511086125</v>
      </c>
      <c r="M6" s="19">
        <f t="shared" si="8"/>
        <v>15</v>
      </c>
      <c r="N6" s="19">
        <f t="shared" si="9"/>
        <v>0.42480000000000001</v>
      </c>
      <c r="O6" s="19" t="s">
        <v>55</v>
      </c>
      <c r="P6" s="38">
        <v>14</v>
      </c>
      <c r="Q6" s="20" t="s">
        <v>21</v>
      </c>
      <c r="R6" s="43" t="s">
        <v>73</v>
      </c>
      <c r="S6" s="46" t="s">
        <v>74</v>
      </c>
      <c r="T6" s="43" t="s">
        <v>73</v>
      </c>
      <c r="U6" s="38">
        <v>14</v>
      </c>
    </row>
    <row r="7" spans="1:21" s="21" customFormat="1" ht="16">
      <c r="A7" s="15">
        <v>1760222</v>
      </c>
      <c r="B7" s="15">
        <v>3788195</v>
      </c>
      <c r="C7" s="22" t="s">
        <v>24</v>
      </c>
      <c r="D7" s="15" t="s">
        <v>20</v>
      </c>
      <c r="E7" s="17">
        <v>46168</v>
      </c>
      <c r="F7" s="18">
        <v>46175</v>
      </c>
      <c r="G7" s="45" t="s">
        <v>69</v>
      </c>
      <c r="H7" s="15" t="s">
        <v>47</v>
      </c>
      <c r="I7" s="15">
        <v>350</v>
      </c>
      <c r="J7" s="10">
        <f t="shared" si="5"/>
        <v>8</v>
      </c>
      <c r="K7" s="19">
        <f t="shared" si="6"/>
        <v>196.00000000000003</v>
      </c>
      <c r="L7" s="19">
        <f t="shared" si="7"/>
        <v>88.906629894400709</v>
      </c>
      <c r="M7" s="19">
        <f t="shared" si="8"/>
        <v>24</v>
      </c>
      <c r="N7" s="19">
        <f t="shared" si="9"/>
        <v>0.67968000000000006</v>
      </c>
      <c r="O7" s="19" t="s">
        <v>56</v>
      </c>
      <c r="P7" s="38">
        <v>14</v>
      </c>
      <c r="Q7" s="20" t="s">
        <v>21</v>
      </c>
      <c r="R7" s="43" t="s">
        <v>73</v>
      </c>
      <c r="S7" s="46" t="s">
        <v>74</v>
      </c>
      <c r="T7" s="43" t="s">
        <v>73</v>
      </c>
      <c r="U7" s="38">
        <v>14</v>
      </c>
    </row>
    <row r="8" spans="1:21" s="21" customFormat="1" ht="16">
      <c r="A8" s="23">
        <v>1760222</v>
      </c>
      <c r="B8" s="15">
        <v>3788195</v>
      </c>
      <c r="C8" s="23" t="s">
        <v>24</v>
      </c>
      <c r="D8" s="23" t="s">
        <v>20</v>
      </c>
      <c r="E8" s="24">
        <v>46168</v>
      </c>
      <c r="F8" s="18">
        <v>46175</v>
      </c>
      <c r="G8" s="28" t="s">
        <v>35</v>
      </c>
      <c r="H8" s="23" t="s">
        <v>48</v>
      </c>
      <c r="I8" s="23">
        <v>350</v>
      </c>
      <c r="J8" s="10">
        <f t="shared" si="5"/>
        <v>8</v>
      </c>
      <c r="K8" s="25">
        <f t="shared" si="6"/>
        <v>196.00000000000003</v>
      </c>
      <c r="L8" s="25">
        <f t="shared" si="7"/>
        <v>88.906629894400709</v>
      </c>
      <c r="M8" s="25">
        <f t="shared" si="8"/>
        <v>24</v>
      </c>
      <c r="N8" s="25">
        <f t="shared" si="9"/>
        <v>0.67968000000000006</v>
      </c>
      <c r="O8" s="19" t="s">
        <v>57</v>
      </c>
      <c r="P8" s="38">
        <v>14</v>
      </c>
      <c r="Q8" s="26" t="s">
        <v>21</v>
      </c>
      <c r="R8" s="43" t="s">
        <v>73</v>
      </c>
      <c r="S8" s="46" t="s">
        <v>74</v>
      </c>
      <c r="T8" s="43" t="s">
        <v>73</v>
      </c>
      <c r="U8" s="38">
        <v>14</v>
      </c>
    </row>
    <row r="9" spans="1:21" s="21" customFormat="1" ht="16">
      <c r="A9" s="19">
        <v>1760222</v>
      </c>
      <c r="B9" s="15">
        <v>3788195</v>
      </c>
      <c r="C9" s="19" t="s">
        <v>24</v>
      </c>
      <c r="D9" s="23" t="s">
        <v>20</v>
      </c>
      <c r="E9" s="24">
        <v>46168</v>
      </c>
      <c r="F9" s="18">
        <v>46175</v>
      </c>
      <c r="G9" s="27" t="s">
        <v>36</v>
      </c>
      <c r="H9" s="19" t="s">
        <v>44</v>
      </c>
      <c r="I9" s="19">
        <v>350</v>
      </c>
      <c r="J9" s="10">
        <f t="shared" ref="J9:J27" si="10">+ROUNDUP((I9/48),0)</f>
        <v>8</v>
      </c>
      <c r="K9" s="25">
        <f t="shared" ref="K9:K27" si="11">I9*0.56</f>
        <v>196.00000000000003</v>
      </c>
      <c r="L9" s="25">
        <f t="shared" ref="L9:L27" si="12">K9/2.20456</f>
        <v>88.906629894400709</v>
      </c>
      <c r="M9" s="25">
        <f t="shared" ref="M9:M27" si="13">J9*3</f>
        <v>24</v>
      </c>
      <c r="N9" s="25">
        <f t="shared" ref="N9:N27" si="14">M9*0.02832</f>
        <v>0.67968000000000006</v>
      </c>
      <c r="O9" s="19" t="s">
        <v>58</v>
      </c>
      <c r="P9" s="38">
        <v>14</v>
      </c>
      <c r="Q9" s="26" t="s">
        <v>21</v>
      </c>
      <c r="R9" s="43" t="s">
        <v>73</v>
      </c>
      <c r="S9" s="46" t="s">
        <v>74</v>
      </c>
      <c r="T9" s="43" t="s">
        <v>73</v>
      </c>
      <c r="U9" s="38">
        <v>14</v>
      </c>
    </row>
    <row r="10" spans="1:21" s="35" customFormat="1" ht="16">
      <c r="A10" s="29">
        <v>1760222</v>
      </c>
      <c r="B10" s="36">
        <v>3788195</v>
      </c>
      <c r="C10" s="29" t="s">
        <v>24</v>
      </c>
      <c r="D10" s="30" t="s">
        <v>20</v>
      </c>
      <c r="E10" s="31">
        <v>46168</v>
      </c>
      <c r="F10" s="32">
        <v>46175</v>
      </c>
      <c r="G10" s="33" t="s">
        <v>37</v>
      </c>
      <c r="H10" s="29" t="s">
        <v>47</v>
      </c>
      <c r="I10" s="29">
        <v>200</v>
      </c>
      <c r="J10" s="10">
        <f t="shared" si="10"/>
        <v>5</v>
      </c>
      <c r="K10" s="34">
        <f t="shared" si="11"/>
        <v>112.00000000000001</v>
      </c>
      <c r="L10" s="34">
        <f t="shared" si="12"/>
        <v>50.803788511086125</v>
      </c>
      <c r="M10" s="34">
        <f t="shared" si="13"/>
        <v>15</v>
      </c>
      <c r="N10" s="34">
        <f t="shared" si="14"/>
        <v>0.42480000000000001</v>
      </c>
      <c r="O10" s="29" t="s">
        <v>58</v>
      </c>
      <c r="P10" s="39">
        <v>14</v>
      </c>
      <c r="Q10" s="26" t="s">
        <v>21</v>
      </c>
      <c r="R10" s="43" t="s">
        <v>65</v>
      </c>
      <c r="S10" s="46" t="s">
        <v>74</v>
      </c>
      <c r="T10" s="43" t="s">
        <v>65</v>
      </c>
      <c r="U10" s="39">
        <v>14</v>
      </c>
    </row>
    <row r="11" spans="1:21" s="35" customFormat="1" ht="16">
      <c r="A11" s="29">
        <v>1760223</v>
      </c>
      <c r="B11" s="29">
        <v>3788196</v>
      </c>
      <c r="C11" s="29" t="s">
        <v>25</v>
      </c>
      <c r="D11" s="30" t="s">
        <v>20</v>
      </c>
      <c r="E11" s="31">
        <v>46168</v>
      </c>
      <c r="F11" s="32">
        <v>46175</v>
      </c>
      <c r="G11" s="33" t="s">
        <v>38</v>
      </c>
      <c r="H11" s="29" t="s">
        <v>49</v>
      </c>
      <c r="I11" s="29">
        <v>200</v>
      </c>
      <c r="J11" s="10">
        <f t="shared" si="10"/>
        <v>5</v>
      </c>
      <c r="K11" s="34">
        <f t="shared" si="11"/>
        <v>112.00000000000001</v>
      </c>
      <c r="L11" s="34">
        <f t="shared" si="12"/>
        <v>50.803788511086125</v>
      </c>
      <c r="M11" s="34">
        <f t="shared" si="13"/>
        <v>15</v>
      </c>
      <c r="N11" s="34">
        <f t="shared" si="14"/>
        <v>0.42480000000000001</v>
      </c>
      <c r="O11" s="29" t="s">
        <v>59</v>
      </c>
      <c r="P11" s="40">
        <v>18</v>
      </c>
      <c r="Q11" s="26" t="s">
        <v>21</v>
      </c>
      <c r="R11" s="43" t="s">
        <v>65</v>
      </c>
      <c r="S11" s="46" t="s">
        <v>74</v>
      </c>
      <c r="T11" s="43" t="s">
        <v>65</v>
      </c>
      <c r="U11" s="40">
        <v>18</v>
      </c>
    </row>
    <row r="12" spans="1:21" s="35" customFormat="1" ht="16">
      <c r="A12" s="29">
        <v>1760223</v>
      </c>
      <c r="B12" s="29">
        <v>3788196</v>
      </c>
      <c r="C12" s="29" t="s">
        <v>25</v>
      </c>
      <c r="D12" s="30" t="s">
        <v>20</v>
      </c>
      <c r="E12" s="31">
        <v>46168</v>
      </c>
      <c r="F12" s="32">
        <v>46175</v>
      </c>
      <c r="G12" s="33" t="s">
        <v>70</v>
      </c>
      <c r="H12" s="29" t="s">
        <v>44</v>
      </c>
      <c r="I12" s="29">
        <v>350</v>
      </c>
      <c r="J12" s="10">
        <f t="shared" si="10"/>
        <v>8</v>
      </c>
      <c r="K12" s="34">
        <f t="shared" si="11"/>
        <v>196.00000000000003</v>
      </c>
      <c r="L12" s="34">
        <f t="shared" si="12"/>
        <v>88.906629894400709</v>
      </c>
      <c r="M12" s="34">
        <f t="shared" si="13"/>
        <v>24</v>
      </c>
      <c r="N12" s="34">
        <f t="shared" si="14"/>
        <v>0.67968000000000006</v>
      </c>
      <c r="O12" s="29" t="s">
        <v>60</v>
      </c>
      <c r="P12" s="40">
        <v>18</v>
      </c>
      <c r="Q12" s="26" t="s">
        <v>21</v>
      </c>
      <c r="R12" s="43" t="s">
        <v>65</v>
      </c>
      <c r="S12" s="46" t="s">
        <v>74</v>
      </c>
      <c r="T12" s="43" t="s">
        <v>65</v>
      </c>
      <c r="U12" s="40">
        <v>18</v>
      </c>
    </row>
    <row r="13" spans="1:21" s="35" customFormat="1" ht="16">
      <c r="A13" s="29">
        <v>1760224</v>
      </c>
      <c r="B13" s="29">
        <v>3788197</v>
      </c>
      <c r="C13" s="29" t="s">
        <v>26</v>
      </c>
      <c r="D13" s="30" t="s">
        <v>20</v>
      </c>
      <c r="E13" s="31">
        <v>46168</v>
      </c>
      <c r="F13" s="32">
        <v>46175</v>
      </c>
      <c r="G13" s="33" t="s">
        <v>71</v>
      </c>
      <c r="H13" s="29" t="s">
        <v>50</v>
      </c>
      <c r="I13" s="29">
        <v>2</v>
      </c>
      <c r="J13" s="10">
        <f t="shared" si="10"/>
        <v>1</v>
      </c>
      <c r="K13" s="34">
        <f t="shared" si="11"/>
        <v>1.1200000000000001</v>
      </c>
      <c r="L13" s="34">
        <f t="shared" si="12"/>
        <v>0.50803788511086123</v>
      </c>
      <c r="M13" s="34">
        <f t="shared" si="13"/>
        <v>3</v>
      </c>
      <c r="N13" s="34">
        <f t="shared" si="14"/>
        <v>8.4960000000000008E-2</v>
      </c>
      <c r="O13" s="29" t="s">
        <v>61</v>
      </c>
      <c r="P13" s="40">
        <v>14</v>
      </c>
      <c r="Q13" s="26" t="s">
        <v>21</v>
      </c>
      <c r="R13" s="43" t="s">
        <v>65</v>
      </c>
      <c r="S13" s="46" t="s">
        <v>74</v>
      </c>
      <c r="T13" s="43" t="s">
        <v>65</v>
      </c>
      <c r="U13" s="40">
        <v>14</v>
      </c>
    </row>
    <row r="14" spans="1:21" s="35" customFormat="1" ht="16">
      <c r="A14" s="29">
        <v>1760224</v>
      </c>
      <c r="B14" s="29">
        <v>3788197</v>
      </c>
      <c r="C14" s="29" t="s">
        <v>26</v>
      </c>
      <c r="D14" s="30" t="s">
        <v>20</v>
      </c>
      <c r="E14" s="31">
        <v>46168</v>
      </c>
      <c r="F14" s="32">
        <v>46175</v>
      </c>
      <c r="G14" s="33" t="s">
        <v>40</v>
      </c>
      <c r="H14" s="29" t="s">
        <v>46</v>
      </c>
      <c r="I14" s="29">
        <v>4</v>
      </c>
      <c r="J14" s="10">
        <f t="shared" si="10"/>
        <v>1</v>
      </c>
      <c r="K14" s="34">
        <f t="shared" si="11"/>
        <v>2.2400000000000002</v>
      </c>
      <c r="L14" s="34">
        <f t="shared" si="12"/>
        <v>1.0160757702217225</v>
      </c>
      <c r="M14" s="34">
        <f t="shared" si="13"/>
        <v>3</v>
      </c>
      <c r="N14" s="34">
        <f t="shared" si="14"/>
        <v>8.4960000000000008E-2</v>
      </c>
      <c r="O14" s="29" t="s">
        <v>62</v>
      </c>
      <c r="P14" s="40">
        <v>14</v>
      </c>
      <c r="Q14" s="26" t="s">
        <v>21</v>
      </c>
      <c r="R14" s="43" t="s">
        <v>65</v>
      </c>
      <c r="S14" s="46" t="s">
        <v>74</v>
      </c>
      <c r="T14" s="43" t="s">
        <v>65</v>
      </c>
      <c r="U14" s="40">
        <v>14</v>
      </c>
    </row>
    <row r="15" spans="1:21" s="35" customFormat="1" ht="16">
      <c r="A15" s="29">
        <v>1760224</v>
      </c>
      <c r="B15" s="29">
        <v>3788197</v>
      </c>
      <c r="C15" s="29" t="s">
        <v>26</v>
      </c>
      <c r="D15" s="30" t="s">
        <v>20</v>
      </c>
      <c r="E15" s="31">
        <v>46168</v>
      </c>
      <c r="F15" s="32">
        <v>46175</v>
      </c>
      <c r="G15" s="33" t="s">
        <v>41</v>
      </c>
      <c r="H15" s="29" t="s">
        <v>48</v>
      </c>
      <c r="I15" s="29">
        <v>2</v>
      </c>
      <c r="J15" s="10">
        <f t="shared" si="10"/>
        <v>1</v>
      </c>
      <c r="K15" s="34">
        <f t="shared" si="11"/>
        <v>1.1200000000000001</v>
      </c>
      <c r="L15" s="34">
        <f t="shared" si="12"/>
        <v>0.50803788511086123</v>
      </c>
      <c r="M15" s="34">
        <f t="shared" si="13"/>
        <v>3</v>
      </c>
      <c r="N15" s="34">
        <f t="shared" si="14"/>
        <v>8.4960000000000008E-2</v>
      </c>
      <c r="O15" s="29" t="s">
        <v>63</v>
      </c>
      <c r="P15" s="40">
        <v>14</v>
      </c>
      <c r="Q15" s="26" t="s">
        <v>21</v>
      </c>
      <c r="R15" s="43" t="s">
        <v>65</v>
      </c>
      <c r="S15" s="46" t="s">
        <v>74</v>
      </c>
      <c r="T15" s="43" t="s">
        <v>65</v>
      </c>
      <c r="U15" s="40">
        <v>14</v>
      </c>
    </row>
    <row r="16" spans="1:21" s="35" customFormat="1" ht="16">
      <c r="A16" s="29">
        <v>1760224</v>
      </c>
      <c r="B16" s="29">
        <v>3788197</v>
      </c>
      <c r="C16" s="29" t="s">
        <v>26</v>
      </c>
      <c r="D16" s="30" t="s">
        <v>20</v>
      </c>
      <c r="E16" s="31">
        <v>46168</v>
      </c>
      <c r="F16" s="32">
        <v>46175</v>
      </c>
      <c r="G16" s="33" t="s">
        <v>42</v>
      </c>
      <c r="H16" s="29" t="s">
        <v>44</v>
      </c>
      <c r="I16" s="29">
        <v>1</v>
      </c>
      <c r="J16" s="10">
        <f t="shared" si="10"/>
        <v>1</v>
      </c>
      <c r="K16" s="34">
        <f t="shared" si="11"/>
        <v>0.56000000000000005</v>
      </c>
      <c r="L16" s="34">
        <f t="shared" si="12"/>
        <v>0.25401894255543062</v>
      </c>
      <c r="M16" s="34">
        <f t="shared" si="13"/>
        <v>3</v>
      </c>
      <c r="N16" s="34">
        <f t="shared" si="14"/>
        <v>8.4960000000000008E-2</v>
      </c>
      <c r="O16" s="29" t="s">
        <v>64</v>
      </c>
      <c r="P16" s="40">
        <v>14</v>
      </c>
      <c r="Q16" s="26" t="s">
        <v>21</v>
      </c>
      <c r="R16" s="43" t="s">
        <v>65</v>
      </c>
      <c r="S16" s="46" t="s">
        <v>74</v>
      </c>
      <c r="T16" s="43" t="s">
        <v>65</v>
      </c>
      <c r="U16" s="40">
        <v>14</v>
      </c>
    </row>
    <row r="17" spans="1:21" s="35" customFormat="1" ht="16">
      <c r="A17" s="29">
        <v>1760225</v>
      </c>
      <c r="B17" s="29">
        <v>3788201</v>
      </c>
      <c r="C17" s="29" t="s">
        <v>27</v>
      </c>
      <c r="D17" s="30" t="s">
        <v>20</v>
      </c>
      <c r="E17" s="31">
        <v>46168</v>
      </c>
      <c r="F17" s="32">
        <v>46175</v>
      </c>
      <c r="G17" s="33" t="s">
        <v>72</v>
      </c>
      <c r="H17" s="29" t="s">
        <v>43</v>
      </c>
      <c r="I17" s="29">
        <v>100</v>
      </c>
      <c r="J17" s="10">
        <f t="shared" si="10"/>
        <v>3</v>
      </c>
      <c r="K17" s="34">
        <f t="shared" si="11"/>
        <v>56.000000000000007</v>
      </c>
      <c r="L17" s="34">
        <f t="shared" si="12"/>
        <v>25.401894255543063</v>
      </c>
      <c r="M17" s="34">
        <f t="shared" si="13"/>
        <v>9</v>
      </c>
      <c r="N17" s="34">
        <f t="shared" si="14"/>
        <v>0.25488</v>
      </c>
      <c r="O17" s="29" t="s">
        <v>51</v>
      </c>
      <c r="P17" s="40">
        <v>14</v>
      </c>
      <c r="Q17" s="26" t="s">
        <v>21</v>
      </c>
      <c r="R17" s="43" t="s">
        <v>65</v>
      </c>
      <c r="S17" s="46" t="s">
        <v>74</v>
      </c>
      <c r="T17" s="43" t="s">
        <v>65</v>
      </c>
      <c r="U17" s="40">
        <v>14</v>
      </c>
    </row>
    <row r="18" spans="1:21" s="35" customFormat="1" ht="16">
      <c r="A18" s="29">
        <v>1760225</v>
      </c>
      <c r="B18" s="29">
        <v>3788201</v>
      </c>
      <c r="C18" s="29" t="s">
        <v>27</v>
      </c>
      <c r="D18" s="30" t="s">
        <v>20</v>
      </c>
      <c r="E18" s="31">
        <v>46168</v>
      </c>
      <c r="F18" s="32">
        <v>46175</v>
      </c>
      <c r="G18" s="33" t="s">
        <v>66</v>
      </c>
      <c r="H18" s="29" t="s">
        <v>44</v>
      </c>
      <c r="I18" s="29">
        <v>100</v>
      </c>
      <c r="J18" s="10">
        <f t="shared" si="10"/>
        <v>3</v>
      </c>
      <c r="K18" s="34">
        <f t="shared" si="11"/>
        <v>56.000000000000007</v>
      </c>
      <c r="L18" s="34">
        <f t="shared" si="12"/>
        <v>25.401894255543063</v>
      </c>
      <c r="M18" s="34">
        <f t="shared" si="13"/>
        <v>9</v>
      </c>
      <c r="N18" s="34">
        <f t="shared" si="14"/>
        <v>0.25488</v>
      </c>
      <c r="O18" s="29" t="s">
        <v>53</v>
      </c>
      <c r="P18" s="40">
        <v>14</v>
      </c>
      <c r="Q18" s="26" t="s">
        <v>21</v>
      </c>
      <c r="R18" s="43" t="s">
        <v>65</v>
      </c>
      <c r="S18" s="46" t="s">
        <v>74</v>
      </c>
      <c r="T18" s="43" t="s">
        <v>65</v>
      </c>
      <c r="U18" s="40">
        <v>14</v>
      </c>
    </row>
    <row r="19" spans="1:21" s="35" customFormat="1" ht="16">
      <c r="A19" s="29">
        <v>1760226</v>
      </c>
      <c r="B19" s="29">
        <v>3788202</v>
      </c>
      <c r="C19" s="29" t="s">
        <v>28</v>
      </c>
      <c r="D19" s="30" t="s">
        <v>20</v>
      </c>
      <c r="E19" s="31">
        <v>46168</v>
      </c>
      <c r="F19" s="32">
        <v>46175</v>
      </c>
      <c r="G19" s="33" t="s">
        <v>31</v>
      </c>
      <c r="H19" s="29" t="s">
        <v>45</v>
      </c>
      <c r="I19" s="29">
        <v>100</v>
      </c>
      <c r="J19" s="10">
        <f t="shared" si="10"/>
        <v>3</v>
      </c>
      <c r="K19" s="34">
        <f t="shared" si="11"/>
        <v>56.000000000000007</v>
      </c>
      <c r="L19" s="34">
        <f t="shared" si="12"/>
        <v>25.401894255543063</v>
      </c>
      <c r="M19" s="34">
        <f t="shared" si="13"/>
        <v>9</v>
      </c>
      <c r="N19" s="34">
        <f t="shared" si="14"/>
        <v>0.25488</v>
      </c>
      <c r="O19" s="29" t="s">
        <v>52</v>
      </c>
      <c r="P19" s="40">
        <v>14</v>
      </c>
      <c r="Q19" s="26" t="s">
        <v>21</v>
      </c>
      <c r="R19" s="43" t="s">
        <v>73</v>
      </c>
      <c r="S19" s="46" t="s">
        <v>74</v>
      </c>
      <c r="T19" s="43" t="s">
        <v>73</v>
      </c>
      <c r="U19" s="40">
        <v>14</v>
      </c>
    </row>
    <row r="20" spans="1:21" s="35" customFormat="1" ht="16">
      <c r="A20" s="29">
        <v>1760226</v>
      </c>
      <c r="B20" s="29">
        <v>3788202</v>
      </c>
      <c r="C20" s="29" t="s">
        <v>28</v>
      </c>
      <c r="D20" s="30" t="s">
        <v>20</v>
      </c>
      <c r="E20" s="31">
        <v>46168</v>
      </c>
      <c r="F20" s="32">
        <v>46175</v>
      </c>
      <c r="G20" s="33" t="s">
        <v>32</v>
      </c>
      <c r="H20" s="29" t="s">
        <v>44</v>
      </c>
      <c r="I20" s="29">
        <v>150</v>
      </c>
      <c r="J20" s="10">
        <f t="shared" si="10"/>
        <v>4</v>
      </c>
      <c r="K20" s="34">
        <f t="shared" si="11"/>
        <v>84.000000000000014</v>
      </c>
      <c r="L20" s="34">
        <f t="shared" si="12"/>
        <v>38.10284138331459</v>
      </c>
      <c r="M20" s="34">
        <f t="shared" si="13"/>
        <v>12</v>
      </c>
      <c r="N20" s="34">
        <f t="shared" si="14"/>
        <v>0.33984000000000003</v>
      </c>
      <c r="O20" s="29" t="s">
        <v>54</v>
      </c>
      <c r="P20" s="40">
        <v>14</v>
      </c>
      <c r="Q20" s="26" t="s">
        <v>21</v>
      </c>
      <c r="R20" s="43" t="s">
        <v>73</v>
      </c>
      <c r="S20" s="46" t="s">
        <v>74</v>
      </c>
      <c r="T20" s="43" t="s">
        <v>73</v>
      </c>
      <c r="U20" s="40">
        <v>14</v>
      </c>
    </row>
    <row r="21" spans="1:21" s="35" customFormat="1" ht="16">
      <c r="A21" s="29">
        <v>1760226</v>
      </c>
      <c r="B21" s="29">
        <v>3788202</v>
      </c>
      <c r="C21" s="29" t="s">
        <v>28</v>
      </c>
      <c r="D21" s="30" t="s">
        <v>20</v>
      </c>
      <c r="E21" s="31">
        <v>46168</v>
      </c>
      <c r="F21" s="32">
        <v>46175</v>
      </c>
      <c r="G21" s="33" t="s">
        <v>33</v>
      </c>
      <c r="H21" s="29" t="s">
        <v>46</v>
      </c>
      <c r="I21" s="29">
        <v>100</v>
      </c>
      <c r="J21" s="10">
        <f t="shared" si="10"/>
        <v>3</v>
      </c>
      <c r="K21" s="34">
        <f t="shared" si="11"/>
        <v>56.000000000000007</v>
      </c>
      <c r="L21" s="34">
        <f t="shared" si="12"/>
        <v>25.401894255543063</v>
      </c>
      <c r="M21" s="34">
        <f t="shared" si="13"/>
        <v>9</v>
      </c>
      <c r="N21" s="34">
        <f t="shared" si="14"/>
        <v>0.25488</v>
      </c>
      <c r="O21" s="29" t="s">
        <v>55</v>
      </c>
      <c r="P21" s="40">
        <v>14</v>
      </c>
      <c r="Q21" s="26" t="s">
        <v>21</v>
      </c>
      <c r="R21" s="43" t="s">
        <v>73</v>
      </c>
      <c r="S21" s="46" t="s">
        <v>74</v>
      </c>
      <c r="T21" s="43" t="s">
        <v>73</v>
      </c>
      <c r="U21" s="40">
        <v>14</v>
      </c>
    </row>
    <row r="22" spans="1:21" s="35" customFormat="1" ht="16">
      <c r="A22" s="29">
        <v>1760226</v>
      </c>
      <c r="B22" s="29">
        <v>3788202</v>
      </c>
      <c r="C22" s="29" t="s">
        <v>28</v>
      </c>
      <c r="D22" s="30" t="s">
        <v>20</v>
      </c>
      <c r="E22" s="31">
        <v>46168</v>
      </c>
      <c r="F22" s="32">
        <v>46175</v>
      </c>
      <c r="G22" s="33" t="s">
        <v>34</v>
      </c>
      <c r="H22" s="29" t="s">
        <v>47</v>
      </c>
      <c r="I22" s="29">
        <v>150</v>
      </c>
      <c r="J22" s="10">
        <f t="shared" si="10"/>
        <v>4</v>
      </c>
      <c r="K22" s="34">
        <f t="shared" si="11"/>
        <v>84.000000000000014</v>
      </c>
      <c r="L22" s="34">
        <f t="shared" si="12"/>
        <v>38.10284138331459</v>
      </c>
      <c r="M22" s="34">
        <f t="shared" si="13"/>
        <v>12</v>
      </c>
      <c r="N22" s="34">
        <f t="shared" si="14"/>
        <v>0.33984000000000003</v>
      </c>
      <c r="O22" s="29" t="s">
        <v>56</v>
      </c>
      <c r="P22" s="40">
        <v>14</v>
      </c>
      <c r="Q22" s="26" t="s">
        <v>21</v>
      </c>
      <c r="R22" s="43" t="s">
        <v>73</v>
      </c>
      <c r="S22" s="46" t="s">
        <v>74</v>
      </c>
      <c r="T22" s="43" t="s">
        <v>73</v>
      </c>
      <c r="U22" s="40">
        <v>14</v>
      </c>
    </row>
    <row r="23" spans="1:21" s="35" customFormat="1" ht="16">
      <c r="A23" s="29">
        <v>1760226</v>
      </c>
      <c r="B23" s="29">
        <v>3788202</v>
      </c>
      <c r="C23" s="29" t="s">
        <v>28</v>
      </c>
      <c r="D23" s="30" t="s">
        <v>20</v>
      </c>
      <c r="E23" s="31">
        <v>46168</v>
      </c>
      <c r="F23" s="32">
        <v>46175</v>
      </c>
      <c r="G23" s="33" t="s">
        <v>35</v>
      </c>
      <c r="H23" s="29" t="s">
        <v>48</v>
      </c>
      <c r="I23" s="29">
        <v>150</v>
      </c>
      <c r="J23" s="10">
        <f t="shared" si="10"/>
        <v>4</v>
      </c>
      <c r="K23" s="34">
        <f t="shared" si="11"/>
        <v>84.000000000000014</v>
      </c>
      <c r="L23" s="34">
        <f t="shared" si="12"/>
        <v>38.10284138331459</v>
      </c>
      <c r="M23" s="34">
        <f t="shared" si="13"/>
        <v>12</v>
      </c>
      <c r="N23" s="34">
        <f t="shared" si="14"/>
        <v>0.33984000000000003</v>
      </c>
      <c r="O23" s="29" t="s">
        <v>57</v>
      </c>
      <c r="P23" s="40">
        <v>14</v>
      </c>
      <c r="Q23" s="26" t="s">
        <v>21</v>
      </c>
      <c r="R23" s="43" t="s">
        <v>73</v>
      </c>
      <c r="S23" s="46" t="s">
        <v>74</v>
      </c>
      <c r="T23" s="43" t="s">
        <v>73</v>
      </c>
      <c r="U23" s="40">
        <v>14</v>
      </c>
    </row>
    <row r="24" spans="1:21" s="35" customFormat="1" ht="16">
      <c r="A24" s="29">
        <v>1760226</v>
      </c>
      <c r="B24" s="29">
        <v>3788202</v>
      </c>
      <c r="C24" s="29" t="s">
        <v>28</v>
      </c>
      <c r="D24" s="30" t="s">
        <v>20</v>
      </c>
      <c r="E24" s="31">
        <v>46168</v>
      </c>
      <c r="F24" s="32">
        <v>46175</v>
      </c>
      <c r="G24" s="33" t="s">
        <v>36</v>
      </c>
      <c r="H24" s="29" t="s">
        <v>44</v>
      </c>
      <c r="I24" s="29">
        <v>150</v>
      </c>
      <c r="J24" s="10">
        <f t="shared" si="10"/>
        <v>4</v>
      </c>
      <c r="K24" s="34">
        <f t="shared" si="11"/>
        <v>84.000000000000014</v>
      </c>
      <c r="L24" s="34">
        <f t="shared" si="12"/>
        <v>38.10284138331459</v>
      </c>
      <c r="M24" s="34">
        <f t="shared" si="13"/>
        <v>12</v>
      </c>
      <c r="N24" s="34">
        <f t="shared" si="14"/>
        <v>0.33984000000000003</v>
      </c>
      <c r="O24" s="29" t="s">
        <v>58</v>
      </c>
      <c r="P24" s="40">
        <v>14</v>
      </c>
      <c r="Q24" s="26" t="s">
        <v>21</v>
      </c>
      <c r="R24" s="43" t="s">
        <v>73</v>
      </c>
      <c r="S24" s="46" t="s">
        <v>74</v>
      </c>
      <c r="T24" s="43" t="s">
        <v>73</v>
      </c>
      <c r="U24" s="40">
        <v>14</v>
      </c>
    </row>
    <row r="25" spans="1:21" s="35" customFormat="1" ht="16">
      <c r="A25" s="29">
        <v>1760226</v>
      </c>
      <c r="B25" s="29">
        <v>3788202</v>
      </c>
      <c r="C25" s="29" t="s">
        <v>28</v>
      </c>
      <c r="D25" s="30" t="s">
        <v>20</v>
      </c>
      <c r="E25" s="31">
        <v>46168</v>
      </c>
      <c r="F25" s="32">
        <v>46175</v>
      </c>
      <c r="G25" s="33" t="s">
        <v>37</v>
      </c>
      <c r="H25" s="29" t="s">
        <v>47</v>
      </c>
      <c r="I25" s="29">
        <v>100</v>
      </c>
      <c r="J25" s="10">
        <f t="shared" si="10"/>
        <v>3</v>
      </c>
      <c r="K25" s="34">
        <f t="shared" si="11"/>
        <v>56.000000000000007</v>
      </c>
      <c r="L25" s="34">
        <f t="shared" si="12"/>
        <v>25.401894255543063</v>
      </c>
      <c r="M25" s="34">
        <f t="shared" si="13"/>
        <v>9</v>
      </c>
      <c r="N25" s="34">
        <f t="shared" si="14"/>
        <v>0.25488</v>
      </c>
      <c r="O25" s="29" t="s">
        <v>56</v>
      </c>
      <c r="P25" s="40">
        <v>14</v>
      </c>
      <c r="Q25" s="26" t="s">
        <v>21</v>
      </c>
      <c r="R25" s="43" t="s">
        <v>65</v>
      </c>
      <c r="S25" s="46" t="s">
        <v>74</v>
      </c>
      <c r="T25" s="43" t="s">
        <v>65</v>
      </c>
      <c r="U25" s="40">
        <v>14</v>
      </c>
    </row>
    <row r="26" spans="1:21" s="35" customFormat="1" ht="16">
      <c r="A26" s="29">
        <v>1760227</v>
      </c>
      <c r="B26" s="29">
        <v>3788203</v>
      </c>
      <c r="C26" s="29" t="s">
        <v>29</v>
      </c>
      <c r="D26" s="30" t="s">
        <v>20</v>
      </c>
      <c r="E26" s="31">
        <v>46168</v>
      </c>
      <c r="F26" s="32">
        <v>46175</v>
      </c>
      <c r="G26" s="33" t="s">
        <v>38</v>
      </c>
      <c r="H26" s="29" t="s">
        <v>49</v>
      </c>
      <c r="I26" s="29">
        <v>100</v>
      </c>
      <c r="J26" s="10">
        <f t="shared" si="10"/>
        <v>3</v>
      </c>
      <c r="K26" s="34">
        <f t="shared" si="11"/>
        <v>56.000000000000007</v>
      </c>
      <c r="L26" s="34">
        <f t="shared" si="12"/>
        <v>25.401894255543063</v>
      </c>
      <c r="M26" s="34">
        <f t="shared" si="13"/>
        <v>9</v>
      </c>
      <c r="N26" s="34">
        <f t="shared" si="14"/>
        <v>0.25488</v>
      </c>
      <c r="O26" s="29" t="s">
        <v>59</v>
      </c>
      <c r="P26" s="40">
        <v>18</v>
      </c>
      <c r="Q26" s="26" t="s">
        <v>21</v>
      </c>
      <c r="R26" s="43" t="s">
        <v>65</v>
      </c>
      <c r="S26" s="46" t="s">
        <v>74</v>
      </c>
      <c r="T26" s="43" t="s">
        <v>65</v>
      </c>
      <c r="U26" s="40">
        <v>18</v>
      </c>
    </row>
    <row r="27" spans="1:21" s="35" customFormat="1" ht="16">
      <c r="A27" s="29">
        <v>1760227</v>
      </c>
      <c r="B27" s="29">
        <v>3788203</v>
      </c>
      <c r="C27" s="29" t="s">
        <v>29</v>
      </c>
      <c r="D27" s="30" t="s">
        <v>20</v>
      </c>
      <c r="E27" s="31">
        <v>46168</v>
      </c>
      <c r="F27" s="32">
        <v>46175</v>
      </c>
      <c r="G27" s="33" t="s">
        <v>39</v>
      </c>
      <c r="H27" s="29" t="s">
        <v>44</v>
      </c>
      <c r="I27" s="29">
        <v>150</v>
      </c>
      <c r="J27" s="10">
        <f t="shared" si="10"/>
        <v>4</v>
      </c>
      <c r="K27" s="29">
        <f t="shared" si="11"/>
        <v>84.000000000000014</v>
      </c>
      <c r="L27" s="29">
        <f t="shared" si="12"/>
        <v>38.10284138331459</v>
      </c>
      <c r="M27" s="29">
        <f t="shared" si="13"/>
        <v>12</v>
      </c>
      <c r="N27" s="29">
        <f t="shared" si="14"/>
        <v>0.33984000000000003</v>
      </c>
      <c r="O27" s="29" t="s">
        <v>60</v>
      </c>
      <c r="P27" s="40">
        <v>18</v>
      </c>
      <c r="Q27" s="20" t="s">
        <v>21</v>
      </c>
      <c r="R27" s="43" t="s">
        <v>65</v>
      </c>
      <c r="S27" s="46" t="s">
        <v>74</v>
      </c>
      <c r="T27" s="43" t="s">
        <v>65</v>
      </c>
      <c r="U27" s="40">
        <v>18</v>
      </c>
    </row>
    <row r="28" spans="1:21">
      <c r="F28" s="13"/>
    </row>
  </sheetData>
  <autoFilter ref="A1:U9" xr:uid="{00000000-0001-0000-0000-000000000000}"/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Karina Zelaya</cp:lastModifiedBy>
  <dcterms:created xsi:type="dcterms:W3CDTF">2023-03-08T18:18:00Z</dcterms:created>
  <dcterms:modified xsi:type="dcterms:W3CDTF">2026-05-27T17:42:59Z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59811429429445ECB0096C1D279933D3_12</vt:lpwstr>
  </property>
  <property fmtid="{D5CDD505-2E9C-101B-9397-08002B2CF9AE}" pid="3" name="KSOProductBuildVer">
    <vt:lpwstr>2052-12.1.0.17827</vt:lpwstr>
  </property>
</Properties>
</file>