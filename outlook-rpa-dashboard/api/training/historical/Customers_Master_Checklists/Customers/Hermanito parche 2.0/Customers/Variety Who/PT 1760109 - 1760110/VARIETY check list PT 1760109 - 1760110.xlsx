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Variety Who/PT/"/>
    </mc:Choice>
  </mc:AlternateContent>
  <xr:revisionPtr revIDLastSave="30" documentId="13_ncr:1_{560A6FEF-64F0-4601-B075-1AEA0FA8662C}" xr6:coauthVersionLast="47" xr6:coauthVersionMax="47" xr10:uidLastSave="{2F2F0707-DE2D-453E-8716-304125F46865}"/>
  <bookViews>
    <workbookView xWindow="57480" yWindow="-6000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6" i="1"/>
  <c r="F53" i="1"/>
  <c r="B17" i="1"/>
  <c r="D17" i="1" s="1"/>
  <c r="E53" i="1"/>
</calcChain>
</file>

<file path=xl/sharedStrings.xml><?xml version="1.0" encoding="utf-8"?>
<sst xmlns="http://schemas.openxmlformats.org/spreadsheetml/2006/main" count="72" uniqueCount="47">
  <si>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</si>
  <si>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</si>
  <si>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</si>
  <si>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</si>
  <si>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</si>
  <si>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</si>
  <si>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</si>
  <si>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</si>
  <si>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</si>
  <si>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</si>
  <si>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</si>
  <si>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</si>
  <si>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</si>
  <si>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</si>
  <si>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</si>
  <si>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</si>
  <si>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</si>
  <si>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</si>
  <si>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</si>
  <si>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</si>
  <si>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</si>
  <si>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</si>
  <si>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</si>
  <si>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</si>
  <si>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</si>
  <si>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</si>
  <si>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</si>
  <si>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</si>
  <si>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</si>
  <si>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</si>
  <si>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</si>
  <si>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</si>
  <si>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</si>
  <si>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PO# 2</t>
  </si>
  <si>
    <t>PT# 1760109 - 1760110</t>
  </si>
  <si>
    <t>118AVADI23M</t>
  </si>
  <si>
    <t>1BA</t>
  </si>
  <si>
    <t>118ESTELL01L</t>
  </si>
  <si>
    <t>BKA</t>
  </si>
  <si>
    <t>118VICTO100M</t>
  </si>
  <si>
    <t>WRA</t>
  </si>
  <si>
    <t>STEVEN50BP</t>
  </si>
  <si>
    <t>BEA</t>
  </si>
  <si>
    <t>NVA</t>
  </si>
  <si>
    <t>TNA</t>
  </si>
  <si>
    <t>TOMPKINS01B</t>
  </si>
  <si>
    <t>Tracking ID:480537236602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</si>
</sst>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7" borderId="13" xfId="0" applyNumberFormat="1" applyFont="1" applyFill="1" applyBorder="1" applyAlignment="1">
      <alignment horizontal="center" vertical="center"/>
    </xf>
    <xf numFmtId="0" fontId="0" fillId="0" borderId="13" xfId="0" applyBorder="1"/>
    <xf numFmtId="0" fontId="0" fillId="0" borderId="0" xfId="0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" fontId="16" fillId="9" borderId="7" xfId="0" applyNumberFormat="1" applyFont="1" applyFill="1" applyBorder="1" applyAlignment="1">
      <alignment horizontal="center" vertical="center"/>
    </xf>
    <xf numFmtId="0" fontId="16" fillId="9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0" fillId="9" borderId="7" xfId="0" applyFill="1" applyBorder="1" applyAlignment="1">
      <alignment horizontal="center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zoomScale="98" zoomScaleNormal="98" workbookViewId="0">
      <selection activeCell="E9" sqref="E9"/>
    </sheetView>
  </sheetViews>
  <sheetFormatPr defaultColWidth="8.81640625" defaultRowHeight="12.5" x14ac:dyDescent="0.25"/>
  <cols>
    <col min="1" max="1" width="39.1796875" customWidth="1"/>
    <col min="2" max="2" width="21.1796875" customWidth="1"/>
    <col min="3" max="3" width="33.453125" bestFit="1" customWidth="1"/>
    <col min="4" max="4" width="30.1796875" customWidth="1"/>
    <col min="5" max="5" width="16" customWidth="1"/>
    <col min="6" max="6" width="13.81640625" customWidth="1"/>
    <col min="7" max="7" width="34" customWidth="1"/>
    <col min="8" max="8" width="13.81640625" bestFit="1" customWidth="1"/>
    <col min="10" max="10" width="11.81640625" bestFit="1" customWidth="1"/>
  </cols>
  <sheetData>
    <row r="1" spans="1:8" ht="33" customHeight="1" thickBot="1" x14ac:dyDescent="0.55000000000000004">
      <c r="B1" s="54" t="s">
        <v>29</v>
      </c>
      <c r="C1" s="55"/>
      <c r="D1" s="56"/>
    </row>
    <row r="3" spans="1:8" ht="21" customHeight="1" x14ac:dyDescent="0.4">
      <c r="A3" s="1" t="s">
        <v>0</v>
      </c>
      <c r="C3" s="39" t="s">
        <v>34</v>
      </c>
      <c r="E3" s="12"/>
      <c r="F3" s="12"/>
    </row>
    <row r="4" spans="1:8" ht="14" x14ac:dyDescent="0.25">
      <c r="C4" s="39" t="s">
        <v>33</v>
      </c>
      <c r="D4" s="12"/>
      <c r="F4" s="12"/>
    </row>
    <row r="5" spans="1:8" ht="14.25" customHeight="1" x14ac:dyDescent="0.25">
      <c r="E5" s="12"/>
      <c r="F5" s="12"/>
    </row>
    <row r="6" spans="1:8" ht="13" x14ac:dyDescent="0.3">
      <c r="A6" s="24" t="s">
        <v>1</v>
      </c>
      <c r="C6" s="25" t="s">
        <v>25</v>
      </c>
      <c r="D6" s="37" t="s">
        <v>46</v>
      </c>
      <c r="E6" s="32"/>
      <c r="F6" s="12"/>
      <c r="G6" s="3"/>
      <c r="H6" s="3"/>
    </row>
    <row r="7" spans="1:8" ht="13" x14ac:dyDescent="0.3">
      <c r="A7" s="23"/>
      <c r="D7" s="37"/>
      <c r="E7" s="31"/>
      <c r="F7" s="12"/>
    </row>
    <row r="8" spans="1:8" ht="13" x14ac:dyDescent="0.3">
      <c r="A8" s="23"/>
      <c r="D8" s="38"/>
      <c r="E8" s="31"/>
      <c r="F8" s="12"/>
    </row>
    <row r="9" spans="1:8" ht="13" x14ac:dyDescent="0.3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5">
      <c r="E10" s="12"/>
      <c r="F10" s="12"/>
    </row>
    <row r="11" spans="1:8" x14ac:dyDescent="0.25">
      <c r="E11" s="12"/>
      <c r="F11" s="12"/>
    </row>
    <row r="12" spans="1:8" ht="13" thickBot="1" x14ac:dyDescent="0.3">
      <c r="D12" s="20"/>
      <c r="E12" s="12"/>
      <c r="F12" s="12"/>
    </row>
    <row r="13" spans="1:8" ht="35.25" customHeight="1" thickBot="1" x14ac:dyDescent="0.3">
      <c r="A13" s="28" t="s">
        <v>3</v>
      </c>
      <c r="B13" s="52" t="s">
        <v>32</v>
      </c>
      <c r="C13" s="52"/>
      <c r="D13" s="53"/>
      <c r="E13" s="12"/>
    </row>
    <row r="14" spans="1:8" ht="37.5" x14ac:dyDescent="0.25">
      <c r="A14" s="57" t="s">
        <v>11</v>
      </c>
      <c r="B14" s="58"/>
      <c r="C14" s="57" t="s">
        <v>24</v>
      </c>
      <c r="D14" s="58"/>
      <c r="E14" s="22" t="s">
        <v>28</v>
      </c>
    </row>
    <row r="15" spans="1:8" ht="13" x14ac:dyDescent="0.3">
      <c r="A15" s="4" t="s">
        <v>4</v>
      </c>
      <c r="B15" s="5"/>
      <c r="C15" s="4" t="s">
        <v>4</v>
      </c>
      <c r="D15" s="18"/>
      <c r="E15" s="12"/>
    </row>
    <row r="16" spans="1:8" ht="14" x14ac:dyDescent="0.3">
      <c r="A16" s="6" t="s">
        <v>5</v>
      </c>
      <c r="B16" s="7"/>
      <c r="C16" s="6" t="s">
        <v>5</v>
      </c>
      <c r="D16" s="18"/>
      <c r="E16" s="12"/>
    </row>
    <row r="17" spans="1:7" ht="14" x14ac:dyDescent="0.3">
      <c r="A17" s="2" t="s">
        <v>22</v>
      </c>
      <c r="B17" s="46" t="str">
        <f>C4</f>
        <v>PO# 2</v>
      </c>
      <c r="C17" s="2" t="s">
        <v>26</v>
      </c>
      <c r="D17" s="46" t="str">
        <f>B17</f>
        <v>PO# 2</v>
      </c>
      <c r="E17" s="12"/>
    </row>
    <row r="18" spans="1:7" ht="15.75" customHeight="1" x14ac:dyDescent="0.3">
      <c r="A18" s="6" t="s">
        <v>21</v>
      </c>
      <c r="B18" s="27">
        <v>48</v>
      </c>
      <c r="C18" s="26" t="s">
        <v>20</v>
      </c>
      <c r="D18" s="27">
        <v>48</v>
      </c>
      <c r="E18" s="12"/>
    </row>
    <row r="19" spans="1:7" ht="15.75" customHeight="1" x14ac:dyDescent="0.3">
      <c r="A19" s="6" t="s">
        <v>16</v>
      </c>
      <c r="B19" s="7"/>
      <c r="C19" s="6" t="s">
        <v>16</v>
      </c>
      <c r="D19" s="18"/>
      <c r="E19" s="12"/>
    </row>
    <row r="20" spans="1:7" ht="14" x14ac:dyDescent="0.3">
      <c r="A20" s="6" t="s">
        <v>10</v>
      </c>
      <c r="B20" s="5"/>
      <c r="C20" s="6" t="s">
        <v>10</v>
      </c>
      <c r="D20" s="18"/>
      <c r="E20" s="12"/>
    </row>
    <row r="21" spans="1:7" ht="13" x14ac:dyDescent="0.3">
      <c r="A21" s="4" t="s">
        <v>27</v>
      </c>
      <c r="B21" s="5"/>
      <c r="C21" s="14" t="s">
        <v>12</v>
      </c>
      <c r="D21" s="18"/>
      <c r="E21" s="12"/>
      <c r="F21" s="13"/>
    </row>
    <row r="22" spans="1:7" ht="14.5" thickBot="1" x14ac:dyDescent="0.35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5">
      <c r="A23" s="50" t="s">
        <v>17</v>
      </c>
      <c r="B23" s="50"/>
      <c r="C23" s="50"/>
      <c r="D23" s="50"/>
      <c r="E23" s="12"/>
      <c r="F23" s="12"/>
    </row>
    <row r="24" spans="1:7" ht="24" customHeight="1" x14ac:dyDescent="0.25">
      <c r="A24" s="51"/>
      <c r="B24" s="51"/>
      <c r="C24" s="51"/>
      <c r="D24" s="51"/>
      <c r="E24" s="12"/>
      <c r="F24" s="12"/>
    </row>
    <row r="25" spans="1:7" ht="13" x14ac:dyDescent="0.25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9" customFormat="1" ht="14.5" x14ac:dyDescent="0.35">
      <c r="A26" s="62" t="s">
        <v>35</v>
      </c>
      <c r="B26" s="62" t="s">
        <v>36</v>
      </c>
      <c r="C26" s="63" t="str">
        <f>A26&amp;"-"&amp;B26</f>
        <v>118AVADI23M-1BA</v>
      </c>
      <c r="D26" s="64">
        <v>296036</v>
      </c>
      <c r="E26" s="62">
        <v>300</v>
      </c>
      <c r="F26" s="59"/>
      <c r="G26" s="60"/>
    </row>
    <row r="27" spans="1:7" s="49" customFormat="1" ht="14.5" x14ac:dyDescent="0.35">
      <c r="A27" s="62" t="s">
        <v>37</v>
      </c>
      <c r="B27" s="62" t="s">
        <v>38</v>
      </c>
      <c r="C27" s="63" t="str">
        <f t="shared" ref="C27:C41" si="0">A27&amp;"-"&amp;B27</f>
        <v>118ESTELL01L-BKA</v>
      </c>
      <c r="D27" s="64">
        <v>296037</v>
      </c>
      <c r="E27" s="62">
        <v>300</v>
      </c>
      <c r="F27" s="61"/>
      <c r="G27" s="60"/>
    </row>
    <row r="28" spans="1:7" s="49" customFormat="1" ht="14.5" x14ac:dyDescent="0.35">
      <c r="A28" s="62" t="s">
        <v>39</v>
      </c>
      <c r="B28" s="62" t="s">
        <v>38</v>
      </c>
      <c r="C28" s="63" t="str">
        <f t="shared" si="0"/>
        <v>118VICTO100M-BKA</v>
      </c>
      <c r="D28" s="64">
        <v>296032</v>
      </c>
      <c r="E28" s="62">
        <v>300</v>
      </c>
      <c r="F28" s="61"/>
      <c r="G28" s="60"/>
    </row>
    <row r="29" spans="1:7" s="49" customFormat="1" ht="14.5" x14ac:dyDescent="0.35">
      <c r="A29" s="62" t="s">
        <v>39</v>
      </c>
      <c r="B29" s="62" t="s">
        <v>40</v>
      </c>
      <c r="C29" s="63" t="str">
        <f t="shared" si="0"/>
        <v>118VICTO100M-WRA</v>
      </c>
      <c r="D29" s="64">
        <v>296034</v>
      </c>
      <c r="E29" s="62">
        <v>300</v>
      </c>
      <c r="F29" s="61"/>
      <c r="G29" s="60"/>
    </row>
    <row r="30" spans="1:7" ht="14.5" x14ac:dyDescent="0.35">
      <c r="A30" s="62" t="s">
        <v>41</v>
      </c>
      <c r="B30" s="62" t="s">
        <v>42</v>
      </c>
      <c r="C30" s="63" t="str">
        <f t="shared" si="0"/>
        <v>STEVEN50BP-BEA</v>
      </c>
      <c r="D30" s="64">
        <v>296025</v>
      </c>
      <c r="E30" s="62">
        <v>180</v>
      </c>
      <c r="F30" s="59"/>
      <c r="G30" s="60"/>
    </row>
    <row r="31" spans="1:7" ht="14.5" x14ac:dyDescent="0.35">
      <c r="A31" s="62" t="s">
        <v>41</v>
      </c>
      <c r="B31" s="62" t="s">
        <v>43</v>
      </c>
      <c r="C31" s="63" t="str">
        <f t="shared" si="0"/>
        <v>STEVEN50BP-NVA</v>
      </c>
      <c r="D31" s="64">
        <v>296026</v>
      </c>
      <c r="E31" s="62">
        <v>180</v>
      </c>
      <c r="F31" s="59"/>
      <c r="G31" s="60"/>
    </row>
    <row r="32" spans="1:7" ht="14.5" x14ac:dyDescent="0.35">
      <c r="A32" s="62" t="s">
        <v>41</v>
      </c>
      <c r="B32" s="62" t="s">
        <v>44</v>
      </c>
      <c r="C32" s="63" t="str">
        <f t="shared" si="0"/>
        <v>STEVEN50BP-TNA</v>
      </c>
      <c r="D32" s="64">
        <v>296027</v>
      </c>
      <c r="E32" s="62">
        <v>180</v>
      </c>
      <c r="F32" s="59"/>
      <c r="G32" s="60"/>
    </row>
    <row r="33" spans="1:7" ht="14.5" x14ac:dyDescent="0.35">
      <c r="A33" s="62" t="s">
        <v>45</v>
      </c>
      <c r="B33" s="62" t="s">
        <v>43</v>
      </c>
      <c r="C33" s="63" t="str">
        <f t="shared" si="0"/>
        <v>TOMPKINS01B-NVA</v>
      </c>
      <c r="D33" s="64">
        <v>296031</v>
      </c>
      <c r="E33" s="62">
        <v>156</v>
      </c>
      <c r="F33" s="59"/>
      <c r="G33" s="60"/>
    </row>
    <row r="34" spans="1:7" ht="14.5" x14ac:dyDescent="0.35">
      <c r="A34" s="62" t="s">
        <v>35</v>
      </c>
      <c r="B34" s="62" t="s">
        <v>36</v>
      </c>
      <c r="C34" s="63" t="str">
        <f t="shared" si="0"/>
        <v>118AVADI23M-1BA</v>
      </c>
      <c r="D34" s="64">
        <v>296036</v>
      </c>
      <c r="E34" s="62">
        <v>300</v>
      </c>
      <c r="F34" s="59"/>
      <c r="G34" s="60"/>
    </row>
    <row r="35" spans="1:7" ht="14.5" x14ac:dyDescent="0.35">
      <c r="A35" s="62" t="s">
        <v>37</v>
      </c>
      <c r="B35" s="62" t="s">
        <v>38</v>
      </c>
      <c r="C35" s="63" t="str">
        <f t="shared" si="0"/>
        <v>118ESTELL01L-BKA</v>
      </c>
      <c r="D35" s="64">
        <v>296037</v>
      </c>
      <c r="E35" s="62">
        <v>300</v>
      </c>
      <c r="F35" s="59"/>
      <c r="G35" s="60"/>
    </row>
    <row r="36" spans="1:7" ht="14.5" x14ac:dyDescent="0.35">
      <c r="A36" s="62" t="s">
        <v>39</v>
      </c>
      <c r="B36" s="62" t="s">
        <v>38</v>
      </c>
      <c r="C36" s="63" t="str">
        <f t="shared" si="0"/>
        <v>118VICTO100M-BKA</v>
      </c>
      <c r="D36" s="64">
        <v>296032</v>
      </c>
      <c r="E36" s="62">
        <v>300</v>
      </c>
      <c r="F36" s="59"/>
      <c r="G36" s="60"/>
    </row>
    <row r="37" spans="1:7" ht="14.5" x14ac:dyDescent="0.35">
      <c r="A37" s="62" t="s">
        <v>39</v>
      </c>
      <c r="B37" s="62" t="s">
        <v>40</v>
      </c>
      <c r="C37" s="63" t="str">
        <f t="shared" si="0"/>
        <v>118VICTO100M-WRA</v>
      </c>
      <c r="D37" s="64">
        <v>296034</v>
      </c>
      <c r="E37" s="62">
        <v>300</v>
      </c>
      <c r="F37" s="65"/>
      <c r="G37" s="65"/>
    </row>
    <row r="38" spans="1:7" ht="14.5" x14ac:dyDescent="0.35">
      <c r="A38" s="62" t="s">
        <v>41</v>
      </c>
      <c r="B38" s="62" t="s">
        <v>42</v>
      </c>
      <c r="C38" s="63" t="str">
        <f t="shared" si="0"/>
        <v>STEVEN50BP-BEA</v>
      </c>
      <c r="D38" s="64">
        <v>296025</v>
      </c>
      <c r="E38" s="62">
        <v>180</v>
      </c>
      <c r="F38" s="59"/>
      <c r="G38" s="60"/>
    </row>
    <row r="39" spans="1:7" ht="14.5" x14ac:dyDescent="0.35">
      <c r="A39" s="62" t="s">
        <v>41</v>
      </c>
      <c r="B39" s="62" t="s">
        <v>43</v>
      </c>
      <c r="C39" s="63" t="str">
        <f t="shared" si="0"/>
        <v>STEVEN50BP-NVA</v>
      </c>
      <c r="D39" s="64">
        <v>296026</v>
      </c>
      <c r="E39" s="62">
        <v>180</v>
      </c>
      <c r="F39" s="59"/>
      <c r="G39" s="60"/>
    </row>
    <row r="40" spans="1:7" ht="14.5" x14ac:dyDescent="0.35">
      <c r="A40" s="62" t="s">
        <v>41</v>
      </c>
      <c r="B40" s="62" t="s">
        <v>44</v>
      </c>
      <c r="C40" s="63" t="str">
        <f t="shared" si="0"/>
        <v>STEVEN50BP-TNA</v>
      </c>
      <c r="D40" s="64">
        <v>296027</v>
      </c>
      <c r="E40" s="62">
        <v>180</v>
      </c>
      <c r="F40" s="59"/>
      <c r="G40" s="60"/>
    </row>
    <row r="41" spans="1:7" ht="14.5" x14ac:dyDescent="0.35">
      <c r="A41" s="62" t="s">
        <v>45</v>
      </c>
      <c r="B41" s="62" t="s">
        <v>43</v>
      </c>
      <c r="C41" s="63" t="str">
        <f t="shared" si="0"/>
        <v>TOMPKINS01B-NVA</v>
      </c>
      <c r="D41" s="64">
        <v>296031</v>
      </c>
      <c r="E41" s="62">
        <v>156</v>
      </c>
      <c r="F41" s="59"/>
      <c r="G41" s="60"/>
    </row>
    <row r="42" spans="1:7" x14ac:dyDescent="0.25">
      <c r="A42" s="45"/>
      <c r="B42" s="45"/>
      <c r="C42" s="35"/>
      <c r="D42" s="46"/>
      <c r="E42" s="45"/>
      <c r="F42" s="36"/>
      <c r="G42" s="35"/>
    </row>
    <row r="43" spans="1:7" x14ac:dyDescent="0.25">
      <c r="A43" s="45"/>
      <c r="B43" s="45"/>
      <c r="C43" s="35"/>
      <c r="D43" s="46"/>
      <c r="E43" s="45"/>
      <c r="F43" s="36"/>
      <c r="G43" s="35"/>
    </row>
    <row r="44" spans="1:7" x14ac:dyDescent="0.25">
      <c r="A44" s="45"/>
      <c r="B44" s="45"/>
      <c r="C44" s="35"/>
      <c r="D44" s="46"/>
      <c r="E44" s="45"/>
      <c r="F44" s="36"/>
      <c r="G44" s="35"/>
    </row>
    <row r="45" spans="1:7" x14ac:dyDescent="0.25">
      <c r="A45" s="45"/>
      <c r="B45" s="45"/>
      <c r="C45" s="35"/>
      <c r="D45" s="46"/>
      <c r="E45" s="45"/>
      <c r="F45" s="36"/>
      <c r="G45" s="35"/>
    </row>
    <row r="46" spans="1:7" x14ac:dyDescent="0.25">
      <c r="A46" s="45"/>
      <c r="B46" s="45"/>
      <c r="C46" s="35"/>
      <c r="D46" s="46"/>
      <c r="E46" s="45"/>
      <c r="F46" s="36"/>
      <c r="G46" s="35"/>
    </row>
    <row r="47" spans="1:7" x14ac:dyDescent="0.25">
      <c r="A47" s="45"/>
      <c r="B47" s="45"/>
      <c r="C47" s="35"/>
      <c r="D47" s="46"/>
      <c r="E47" s="45"/>
      <c r="F47" s="36"/>
      <c r="G47" s="35"/>
    </row>
    <row r="48" spans="1:7" x14ac:dyDescent="0.25">
      <c r="A48" s="45"/>
      <c r="B48" s="45"/>
      <c r="C48" s="35"/>
      <c r="D48" s="46"/>
      <c r="E48" s="45"/>
      <c r="F48" s="36"/>
      <c r="G48" s="35"/>
    </row>
    <row r="49" spans="1:7" x14ac:dyDescent="0.25">
      <c r="C49" s="44"/>
      <c r="D49" s="44"/>
      <c r="E49" s="48"/>
      <c r="F49" s="47"/>
      <c r="G49" s="44"/>
    </row>
    <row r="50" spans="1:7" x14ac:dyDescent="0.25">
      <c r="A50" s="33"/>
      <c r="B50" s="33"/>
      <c r="C50" s="33"/>
      <c r="D50" s="33"/>
      <c r="E50" s="33"/>
      <c r="F50" s="36"/>
      <c r="G50" s="33"/>
    </row>
    <row r="51" spans="1:7" x14ac:dyDescent="0.25">
      <c r="A51" s="33"/>
      <c r="B51" s="33"/>
      <c r="C51" s="33"/>
      <c r="D51" s="33"/>
      <c r="E51" s="33"/>
      <c r="F51" s="36"/>
      <c r="G51" s="33"/>
    </row>
    <row r="52" spans="1:7" x14ac:dyDescent="0.25">
      <c r="A52" s="33"/>
      <c r="B52" s="33"/>
      <c r="C52" s="33"/>
      <c r="D52" s="33"/>
      <c r="E52" s="33"/>
      <c r="F52" s="36"/>
      <c r="G52" s="33"/>
    </row>
    <row r="53" spans="1:7" ht="15.5" x14ac:dyDescent="0.25">
      <c r="A53" s="20" t="s">
        <v>31</v>
      </c>
      <c r="D53" s="21" t="s">
        <v>23</v>
      </c>
      <c r="E53" s="29">
        <f>SUM(E26:E52)</f>
        <v>3792</v>
      </c>
      <c r="F53" s="29">
        <f>SUM(F26:F36)</f>
        <v>0</v>
      </c>
    </row>
    <row r="54" spans="1:7" x14ac:dyDescent="0.25">
      <c r="B54" s="10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  <row r="58" spans="1:7" x14ac:dyDescent="0.25">
      <c r="B58" s="10"/>
    </row>
    <row r="59" spans="1:7" x14ac:dyDescent="0.25">
      <c r="B59" s="10"/>
    </row>
    <row r="60" spans="1:7" x14ac:dyDescent="0.25">
      <c r="B60" s="10"/>
    </row>
    <row r="61" spans="1:7" x14ac:dyDescent="0.25">
      <c r="B61" s="10"/>
    </row>
    <row r="62" spans="1:7" x14ac:dyDescent="0.25">
      <c r="B62" s="10"/>
    </row>
    <row r="63" spans="1:7" x14ac:dyDescent="0.25">
      <c r="B63" s="10"/>
    </row>
    <row r="64" spans="1:7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ht="12" customHeight="1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5" x14ac:dyDescent="0.25"/>
  <cols>
    <col min="3" max="3" width="13.7265625" bestFit="1" customWidth="1"/>
    <col min="4" max="4" width="10.54296875" bestFit="1" customWidth="1"/>
    <col min="5" max="5" width="24.7265625" bestFit="1" customWidth="1"/>
    <col min="6" max="6" width="6.453125" bestFit="1" customWidth="1"/>
    <col min="7" max="7" width="7.7265625" bestFit="1" customWidth="1"/>
    <col min="8" max="8" width="10.54296875" bestFit="1" customWidth="1"/>
    <col min="9" max="9" width="10.453125" bestFit="1" customWidth="1"/>
  </cols>
  <sheetData>
    <row r="6" spans="3:9" ht="13" x14ac:dyDescent="0.25">
      <c r="C6" s="11"/>
      <c r="D6" s="16"/>
      <c r="E6" s="11"/>
      <c r="F6" s="11"/>
      <c r="G6" s="11"/>
      <c r="H6" s="11"/>
      <c r="I6" s="11"/>
    </row>
    <row r="7" spans="3:9" x14ac:dyDescent="0.25">
      <c r="C7" s="33"/>
      <c r="D7" s="34"/>
      <c r="E7" s="33"/>
      <c r="F7" s="33"/>
      <c r="G7" s="35"/>
      <c r="H7" s="36"/>
      <c r="I7" s="36"/>
    </row>
    <row r="8" spans="3:9" x14ac:dyDescent="0.25">
      <c r="C8" s="33"/>
      <c r="D8" s="34"/>
      <c r="E8" s="33"/>
      <c r="F8" s="33"/>
      <c r="G8" s="35"/>
      <c r="H8" s="36"/>
      <c r="I8" s="36"/>
    </row>
    <row r="9" spans="3:9" x14ac:dyDescent="0.25">
      <c r="C9" s="33"/>
      <c r="D9" s="34"/>
      <c r="E9" s="33"/>
      <c r="F9" s="33"/>
      <c r="G9" s="35"/>
      <c r="H9" s="36"/>
      <c r="I9" s="36"/>
    </row>
    <row r="10" spans="3:9" x14ac:dyDescent="0.25">
      <c r="C10" s="33"/>
      <c r="D10" s="34"/>
      <c r="E10" s="33"/>
      <c r="F10" s="33"/>
      <c r="G10" s="35"/>
      <c r="H10" s="36"/>
      <c r="I10" s="36"/>
    </row>
    <row r="11" spans="3:9" x14ac:dyDescent="0.25">
      <c r="C11" s="33"/>
      <c r="D11" s="34"/>
      <c r="E11" s="33"/>
      <c r="F11" s="33"/>
      <c r="G11" s="35"/>
      <c r="H11" s="36"/>
      <c r="I11" s="36"/>
    </row>
    <row r="12" spans="3:9" x14ac:dyDescent="0.25">
      <c r="C12" s="40"/>
      <c r="D12" s="41"/>
      <c r="E12" s="40"/>
      <c r="F12" s="40"/>
      <c r="G12" s="42"/>
      <c r="H12" s="43"/>
      <c r="I12" s="43"/>
    </row>
    <row r="13" spans="3:9" x14ac:dyDescent="0.25">
      <c r="C13" s="40"/>
      <c r="D13" s="41"/>
      <c r="E13" s="40"/>
      <c r="F13" s="40"/>
      <c r="G13" s="42"/>
      <c r="H13" s="43"/>
      <c r="I13" s="43"/>
    </row>
    <row r="14" spans="3:9" x14ac:dyDescent="0.25">
      <c r="C14" s="40"/>
      <c r="D14" s="41"/>
      <c r="E14" s="40"/>
      <c r="F14" s="40"/>
      <c r="G14" s="42"/>
      <c r="H14" s="43"/>
      <c r="I14" s="43"/>
    </row>
    <row r="15" spans="3:9" x14ac:dyDescent="0.25">
      <c r="C15" s="40"/>
      <c r="D15" s="41"/>
      <c r="E15" s="40"/>
      <c r="F15" s="40"/>
      <c r="G15" s="42"/>
      <c r="H15" s="43"/>
      <c r="I15" s="43"/>
    </row>
    <row r="16" spans="3:9" x14ac:dyDescent="0.25">
      <c r="C16" s="40"/>
      <c r="D16" s="41"/>
      <c r="E16" s="40"/>
      <c r="F16" s="40"/>
      <c r="G16" s="42"/>
      <c r="H16" s="43"/>
      <c r="I16" s="43"/>
    </row>
    <row r="17" spans="3:9" x14ac:dyDescent="0.25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2013-06-27T17:34:28Z</cp:lastPrinted>
  <dcterms:created xsi:type="dcterms:W3CDTF">2008-06-06T20:54:57Z</dcterms:created>
  <dcterms:modified xsi:type="dcterms:W3CDTF">2026-05-25T16:48:36Z</dcterms:modified>
</cp:coreProperties>
</file>