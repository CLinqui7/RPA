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512" documentId="8_{0EBB2938-9D16-473B-B306-699D55C5D276}" xr6:coauthVersionLast="47" xr6:coauthVersionMax="47" xr10:uidLastSave="{3A43FDC1-8077-4E21-81F7-AFC03A9CC7CF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D26" i="1"/>
  <c r="D27" i="1"/>
  <c r="D23" i="1"/>
  <c r="D22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<sst xmlns="http://schemas.openxmlformats.org/spreadsheetml/2006/main" count="102" uniqueCount="60">
  <si>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</si>
  <si>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</si>
  <si>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</si>
  <si>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</si>
  <si>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</si>
  <si>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</si>
  <si>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</si>
  <si>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</si>
  <si>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</si>
  <si>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</si>
  <si>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</si>
  <si>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</si>
  <si>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</si>
  <si>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</si>
  <si>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</si>
  <si>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</si>
  <si>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</si>
  <si>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</si>
  <si>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</si>
  <si>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</si>
  <si>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</si>
  <si>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</si>
  <si>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</si>
  <si>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</si>
  <si>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</si>
  <si>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</si>
  <si>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</si>
  <si>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</si>
  <si>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</si>
  <si>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</si>
  <si>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</si>
  <si>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</si>
  <si>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</si>
  <si>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</si>
  <si>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</si>
  <si>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</si>
  <si>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</si>
  <si>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</si>
  <si>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</si>
  <si>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</si>
  <si>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</si>
  <si>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</si>
  <si>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</si>
  <si>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</si>
  <si>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</si>
  <si>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</si>
  <si>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PL0668AB</t>
  </si>
  <si>
    <t>PL1010AB</t>
  </si>
  <si>
    <t>PL1340OK</t>
  </si>
  <si>
    <t>PL1341OK</t>
  </si>
  <si>
    <t>CSO</t>
  </si>
  <si>
    <t>PCH</t>
  </si>
  <si>
    <t>PNT</t>
  </si>
  <si>
    <t>1925313</t>
  </si>
  <si>
    <t>1925314</t>
  </si>
  <si>
    <t>Multi Pattern</t>
  </si>
  <si>
    <t>Pink Multi</t>
  </si>
  <si>
    <t xml:space="preserve"> 2PC LOOFAH</t>
  </si>
  <si>
    <t>2PC LOOFAH</t>
  </si>
  <si>
    <t>4PC. EXFOLIATING 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</si>
</sst>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5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2" zoomScale="91" zoomScaleNormal="91" workbookViewId="0">
      <selection activeCell="G35" sqref="G35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97" t="s">
        <v>46</v>
      </c>
      <c r="C20" s="90" t="s">
        <v>50</v>
      </c>
      <c r="D20" s="89" t="str">
        <f t="shared" ref="D20:D27" si="0">B20&amp;"-"&amp;C20</f>
        <v>PL0668AB-CSO</v>
      </c>
      <c r="E20" s="90" t="s">
        <v>46</v>
      </c>
      <c r="F20" s="90" t="s">
        <v>55</v>
      </c>
      <c r="G20" s="90" t="s">
        <v>57</v>
      </c>
      <c r="H20" s="90">
        <v>675631</v>
      </c>
      <c r="I20" s="90">
        <v>432</v>
      </c>
      <c r="J20" s="97">
        <v>1764985</v>
      </c>
      <c r="K20" s="98" t="s">
        <v>53</v>
      </c>
      <c r="L20" s="75"/>
      <c r="M20" s="77"/>
      <c r="N20" s="71"/>
    </row>
    <row r="21" spans="1:14" ht="18.5" x14ac:dyDescent="0.45">
      <c r="A21" s="70">
        <v>2</v>
      </c>
      <c r="B21" s="97" t="s">
        <v>46</v>
      </c>
      <c r="C21" s="90" t="s">
        <v>50</v>
      </c>
      <c r="D21" s="89" t="str">
        <f t="shared" si="0"/>
        <v>PL0668AB-CSO</v>
      </c>
      <c r="E21" s="90" t="s">
        <v>46</v>
      </c>
      <c r="F21" s="90" t="s">
        <v>55</v>
      </c>
      <c r="G21" s="90" t="s">
        <v>58</v>
      </c>
      <c r="H21" s="90">
        <v>675644</v>
      </c>
      <c r="I21" s="90">
        <v>180</v>
      </c>
      <c r="J21" s="97">
        <v>1764986</v>
      </c>
      <c r="K21" s="98" t="s">
        <v>54</v>
      </c>
      <c r="L21" s="75"/>
      <c r="M21" s="77"/>
      <c r="N21" s="71"/>
    </row>
    <row r="22" spans="1:14" ht="18.5" x14ac:dyDescent="0.45">
      <c r="A22" s="70">
        <v>19</v>
      </c>
      <c r="B22" s="97" t="s">
        <v>47</v>
      </c>
      <c r="C22" s="90" t="s">
        <v>51</v>
      </c>
      <c r="D22" s="89" t="str">
        <f t="shared" si="0"/>
        <v>PL1010AB-PCH</v>
      </c>
      <c r="E22" s="90" t="s">
        <v>47</v>
      </c>
      <c r="F22" s="90" t="s">
        <v>56</v>
      </c>
      <c r="G22" s="90" t="s">
        <v>58</v>
      </c>
      <c r="H22" s="90">
        <v>675629</v>
      </c>
      <c r="I22" s="90">
        <v>468</v>
      </c>
      <c r="J22" s="97">
        <v>1764985</v>
      </c>
      <c r="K22" s="82" t="s">
        <v>53</v>
      </c>
      <c r="L22" s="75"/>
      <c r="M22" s="77"/>
      <c r="N22" s="71"/>
    </row>
    <row r="23" spans="1:14" ht="18.5" x14ac:dyDescent="0.45">
      <c r="A23" s="70">
        <v>20</v>
      </c>
      <c r="B23" s="97" t="s">
        <v>47</v>
      </c>
      <c r="C23" s="82" t="s">
        <v>51</v>
      </c>
      <c r="D23" s="89" t="str">
        <f t="shared" si="0"/>
        <v>PL1010AB-PCH</v>
      </c>
      <c r="E23" s="90" t="s">
        <v>47</v>
      </c>
      <c r="F23" s="90" t="s">
        <v>56</v>
      </c>
      <c r="G23" s="90" t="s">
        <v>59</v>
      </c>
      <c r="H23" s="90">
        <v>675617</v>
      </c>
      <c r="I23" s="90">
        <v>144</v>
      </c>
      <c r="J23" s="97">
        <v>1764986</v>
      </c>
      <c r="K23" s="82" t="s">
        <v>54</v>
      </c>
      <c r="L23" s="75"/>
      <c r="M23" s="77"/>
      <c r="N23" s="71"/>
    </row>
    <row r="24" spans="1:14" ht="18.5" x14ac:dyDescent="0.45">
      <c r="A24" s="70">
        <v>21</v>
      </c>
      <c r="B24" s="82" t="s">
        <v>48</v>
      </c>
      <c r="C24" s="82" t="s">
        <v>52</v>
      </c>
      <c r="D24" s="89" t="str">
        <f t="shared" si="0"/>
        <v>PL1340OK-PNT</v>
      </c>
      <c r="E24" s="90" t="s">
        <v>48</v>
      </c>
      <c r="F24" s="90" t="s">
        <v>55</v>
      </c>
      <c r="G24" s="90" t="s">
        <v>57</v>
      </c>
      <c r="H24" s="90">
        <v>675631</v>
      </c>
      <c r="I24" s="82">
        <v>432</v>
      </c>
      <c r="J24" s="82">
        <v>1764985</v>
      </c>
      <c r="K24" s="82" t="s">
        <v>53</v>
      </c>
      <c r="L24" s="75"/>
      <c r="M24" s="77"/>
      <c r="N24" s="71"/>
    </row>
    <row r="25" spans="1:14" ht="18.5" x14ac:dyDescent="0.45">
      <c r="A25" s="70">
        <v>22</v>
      </c>
      <c r="B25" s="82" t="s">
        <v>48</v>
      </c>
      <c r="C25" s="82" t="s">
        <v>52</v>
      </c>
      <c r="D25" s="89" t="str">
        <f t="shared" si="0"/>
        <v>PL1340OK-PNT</v>
      </c>
      <c r="E25" s="82" t="s">
        <v>48</v>
      </c>
      <c r="F25" s="82" t="s">
        <v>55</v>
      </c>
      <c r="G25" s="82" t="s">
        <v>58</v>
      </c>
      <c r="H25" s="82">
        <v>675644</v>
      </c>
      <c r="I25" s="82">
        <v>180</v>
      </c>
      <c r="J25" s="82">
        <v>1764986</v>
      </c>
      <c r="K25" s="82" t="s">
        <v>54</v>
      </c>
      <c r="L25" s="75"/>
      <c r="M25" s="77"/>
      <c r="N25" s="71"/>
    </row>
    <row r="26" spans="1:14" ht="18.5" x14ac:dyDescent="0.45">
      <c r="A26" s="70">
        <v>23</v>
      </c>
      <c r="B26" s="82" t="s">
        <v>49</v>
      </c>
      <c r="C26" s="82" t="s">
        <v>52</v>
      </c>
      <c r="D26" s="89" t="str">
        <f t="shared" si="0"/>
        <v>PL1341OK-PNT</v>
      </c>
      <c r="E26" s="82" t="s">
        <v>49</v>
      </c>
      <c r="F26" s="82" t="s">
        <v>56</v>
      </c>
      <c r="G26" s="82" t="s">
        <v>58</v>
      </c>
      <c r="H26" s="82">
        <v>675629</v>
      </c>
      <c r="I26" s="82">
        <v>864</v>
      </c>
      <c r="J26" s="82">
        <v>1764985</v>
      </c>
      <c r="K26" s="82" t="s">
        <v>53</v>
      </c>
      <c r="L26" s="75"/>
      <c r="M26" s="77"/>
      <c r="N26" s="71"/>
    </row>
    <row r="27" spans="1:14" ht="18.5" x14ac:dyDescent="0.45">
      <c r="A27" s="70">
        <v>24</v>
      </c>
      <c r="B27" s="82" t="s">
        <v>49</v>
      </c>
      <c r="C27" s="82" t="s">
        <v>52</v>
      </c>
      <c r="D27" s="89" t="str">
        <f t="shared" si="0"/>
        <v>PL1341OK-PNT</v>
      </c>
      <c r="E27" s="82" t="s">
        <v>49</v>
      </c>
      <c r="F27" s="82" t="s">
        <v>56</v>
      </c>
      <c r="G27" s="82" t="s">
        <v>59</v>
      </c>
      <c r="H27" s="82">
        <v>675617</v>
      </c>
      <c r="I27" s="82">
        <v>360</v>
      </c>
      <c r="J27" s="82">
        <v>1764986</v>
      </c>
      <c r="K27" s="82" t="s">
        <v>54</v>
      </c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1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PL0668AB-CSO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PL0668AB</v>
      </c>
      <c r="C76" s="61" t="str">
        <f>INDEX($A$20:$I$63,$A76,3)</f>
        <v>CSO</v>
      </c>
      <c r="D76" s="17"/>
      <c r="E76" s="60">
        <f>INDEX($A$20:$I$63,$A76,9)</f>
        <v>432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675631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PL0668AB/Multi Pattern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 xml:space="preserve"> 2PC LOOFAH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2026-06-16T21:28:15Z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