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00" documentId="8_{0EBB2938-9D16-473B-B306-699D55C5D276}" xr6:coauthVersionLast="47" xr6:coauthVersionMax="47" xr10:uidLastSave="{6B3B2FE1-E17D-4A17-9CEE-91FEA546C485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<sst xmlns="http://schemas.openxmlformats.org/spreadsheetml/2006/main" count="162" uniqueCount="69">
  <si>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</si>
  <si>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</si>
  <si>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</si>
  <si>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</si>
  <si>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</si>
  <si>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</si>
  <si>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</si>
  <si>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</si>
  <si>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</si>
  <si>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</si>
  <si>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</si>
  <si>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</si>
  <si>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</si>
  <si>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</si>
  <si>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</si>
  <si>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</si>
  <si>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</si>
  <si>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</si>
  <si>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</si>
  <si>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</si>
  <si>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</si>
  <si>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</si>
  <si>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</si>
  <si>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</si>
  <si>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</si>
  <si>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</si>
  <si>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</si>
  <si>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</si>
  <si>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</si>
  <si>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</si>
  <si>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</si>
  <si>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</si>
  <si>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</si>
  <si>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</si>
  <si>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</si>
  <si>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</si>
  <si>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</si>
  <si>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</si>
  <si>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</si>
  <si>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</si>
  <si>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</si>
  <si>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</si>
  <si>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</si>
  <si>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</si>
  <si>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</si>
  <si>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</si>
  <si>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PT0126EH-42</t>
  </si>
  <si>
    <t>PT0127EH-42</t>
  </si>
  <si>
    <t>PT0128EH-42</t>
  </si>
  <si>
    <t>PT0131EH-42</t>
  </si>
  <si>
    <t>PT0132EH-42</t>
  </si>
  <si>
    <t>PT0133EH-42</t>
  </si>
  <si>
    <t>3BB</t>
  </si>
  <si>
    <t>BVI</t>
  </si>
  <si>
    <t>085</t>
  </si>
  <si>
    <t>060</t>
  </si>
  <si>
    <t>1857603</t>
  </si>
  <si>
    <t>1857604</t>
  </si>
  <si>
    <t>1857605</t>
  </si>
  <si>
    <t>BlackLTBLUE</t>
  </si>
  <si>
    <t>Black/IVORY</t>
  </si>
  <si>
    <t>Black red</t>
  </si>
  <si>
    <t>Blackpink</t>
  </si>
  <si>
    <t>EDH BlkBlu IPh16 ProMax MagSafe</t>
  </si>
  <si>
    <t>EDH BlkIvry IPh16 ProMax MagSafe</t>
  </si>
  <si>
    <t>EDH BlkRed IPh16 ProMax MagSafe</t>
  </si>
  <si>
    <t>EDH BlkRed IPh17 ProMax MagSafe</t>
  </si>
  <si>
    <t>EDH BlkIvry IPh17 ProMax MagSafe</t>
  </si>
  <si>
    <t>EDH BlkPnk IPh17 ProMax MagSafe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</si>
</sst>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3" zoomScale="91" zoomScaleNormal="91" workbookViewId="0">
      <selection activeCell="G41" sqref="G4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2" t="s">
        <v>32</v>
      </c>
      <c r="F2" s="93"/>
      <c r="G2" s="9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5" t="s">
        <v>33</v>
      </c>
      <c r="D7" s="9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9" t="s">
        <v>46</v>
      </c>
      <c r="C20" s="91" t="s">
        <v>52</v>
      </c>
      <c r="D20" s="89" t="str">
        <f t="shared" ref="D20:D38" si="0">B20&amp;"-"&amp;C20</f>
        <v>PT0126EH-42-3BB</v>
      </c>
      <c r="E20" s="89" t="s">
        <v>46</v>
      </c>
      <c r="F20" s="89" t="s">
        <v>59</v>
      </c>
      <c r="G20" s="89" t="s">
        <v>63</v>
      </c>
      <c r="H20" s="91">
        <v>99136186</v>
      </c>
      <c r="I20" s="89">
        <v>48</v>
      </c>
      <c r="J20" s="90">
        <v>1763520</v>
      </c>
      <c r="K20" s="90" t="s">
        <v>56</v>
      </c>
      <c r="L20" s="75"/>
      <c r="M20" s="77"/>
      <c r="N20" s="71"/>
    </row>
    <row r="21" spans="1:14" ht="18.5" x14ac:dyDescent="0.45">
      <c r="A21" s="70">
        <v>2</v>
      </c>
      <c r="B21" s="89" t="s">
        <v>47</v>
      </c>
      <c r="C21" s="89" t="s">
        <v>53</v>
      </c>
      <c r="D21" s="89" t="str">
        <f t="shared" si="0"/>
        <v>PT0127EH-42-BVI</v>
      </c>
      <c r="E21" s="89" t="s">
        <v>47</v>
      </c>
      <c r="F21" s="89" t="s">
        <v>60</v>
      </c>
      <c r="G21" s="89" t="s">
        <v>64</v>
      </c>
      <c r="H21" s="89">
        <v>99136217</v>
      </c>
      <c r="I21" s="89">
        <v>48</v>
      </c>
      <c r="J21" s="90">
        <v>1763520</v>
      </c>
      <c r="K21" s="90" t="s">
        <v>56</v>
      </c>
      <c r="L21" s="75"/>
      <c r="M21" s="77"/>
      <c r="N21" s="71"/>
    </row>
    <row r="22" spans="1:14" ht="18.5" x14ac:dyDescent="0.45">
      <c r="A22" s="70">
        <v>19</v>
      </c>
      <c r="B22" s="82" t="s">
        <v>48</v>
      </c>
      <c r="C22" s="82" t="s">
        <v>54</v>
      </c>
      <c r="D22" s="89" t="str">
        <f t="shared" si="0"/>
        <v>PT0128EH-42-085</v>
      </c>
      <c r="E22" s="82" t="s">
        <v>48</v>
      </c>
      <c r="F22" s="82" t="s">
        <v>61</v>
      </c>
      <c r="G22" s="82" t="s">
        <v>65</v>
      </c>
      <c r="H22" s="82">
        <v>99136198</v>
      </c>
      <c r="I22" s="82">
        <v>48</v>
      </c>
      <c r="J22" s="82">
        <v>1763520</v>
      </c>
      <c r="K22" s="82" t="s">
        <v>56</v>
      </c>
      <c r="L22" s="75"/>
      <c r="M22" s="77"/>
      <c r="N22" s="71"/>
    </row>
    <row r="23" spans="1:14" ht="18.5" x14ac:dyDescent="0.45">
      <c r="A23" s="70">
        <v>20</v>
      </c>
      <c r="B23" s="82" t="s">
        <v>49</v>
      </c>
      <c r="C23" s="82" t="s">
        <v>54</v>
      </c>
      <c r="D23" s="89" t="str">
        <f t="shared" si="0"/>
        <v>PT0131EH-42-085</v>
      </c>
      <c r="E23" s="82" t="s">
        <v>49</v>
      </c>
      <c r="F23" s="82" t="s">
        <v>61</v>
      </c>
      <c r="G23" s="82" t="s">
        <v>66</v>
      </c>
      <c r="H23" s="82">
        <v>99136204</v>
      </c>
      <c r="I23" s="82">
        <v>48</v>
      </c>
      <c r="J23" s="82">
        <v>1763520</v>
      </c>
      <c r="K23" s="82" t="s">
        <v>56</v>
      </c>
      <c r="L23" s="75"/>
      <c r="M23" s="77"/>
      <c r="N23" s="71"/>
    </row>
    <row r="24" spans="1:14" ht="18.5" x14ac:dyDescent="0.45">
      <c r="A24" s="70">
        <v>21</v>
      </c>
      <c r="B24" s="82" t="s">
        <v>50</v>
      </c>
      <c r="C24" s="82" t="s">
        <v>53</v>
      </c>
      <c r="D24" s="89" t="str">
        <f t="shared" si="0"/>
        <v>PT0132EH-42-BVI</v>
      </c>
      <c r="E24" s="82" t="s">
        <v>50</v>
      </c>
      <c r="F24" s="82" t="s">
        <v>60</v>
      </c>
      <c r="G24" s="82" t="s">
        <v>67</v>
      </c>
      <c r="H24" s="82">
        <v>99136231</v>
      </c>
      <c r="I24" s="82">
        <v>48</v>
      </c>
      <c r="J24" s="82">
        <v>1763520</v>
      </c>
      <c r="K24" s="82" t="s">
        <v>56</v>
      </c>
      <c r="L24" s="75"/>
      <c r="M24" s="77"/>
      <c r="N24" s="71"/>
    </row>
    <row r="25" spans="1:14" ht="18.5" x14ac:dyDescent="0.45">
      <c r="A25" s="70">
        <v>22</v>
      </c>
      <c r="B25" s="82" t="s">
        <v>51</v>
      </c>
      <c r="C25" s="82" t="s">
        <v>55</v>
      </c>
      <c r="D25" s="89" t="str">
        <f t="shared" si="0"/>
        <v>PT0133EH-42-060</v>
      </c>
      <c r="E25" s="82" t="s">
        <v>51</v>
      </c>
      <c r="F25" s="82" t="s">
        <v>62</v>
      </c>
      <c r="G25" s="82" t="s">
        <v>68</v>
      </c>
      <c r="H25" s="82">
        <v>99136174</v>
      </c>
      <c r="I25" s="82">
        <v>48</v>
      </c>
      <c r="J25" s="82">
        <v>1763520</v>
      </c>
      <c r="K25" s="82" t="s">
        <v>56</v>
      </c>
      <c r="L25" s="75"/>
      <c r="M25" s="77"/>
      <c r="N25" s="71"/>
    </row>
    <row r="26" spans="1:14" ht="18.5" x14ac:dyDescent="0.45">
      <c r="A26" s="70">
        <v>23</v>
      </c>
      <c r="B26" s="82" t="s">
        <v>46</v>
      </c>
      <c r="C26" s="82" t="s">
        <v>52</v>
      </c>
      <c r="D26" s="89" t="str">
        <f t="shared" si="0"/>
        <v>PT0126EH-42-3BB</v>
      </c>
      <c r="E26" s="82" t="s">
        <v>46</v>
      </c>
      <c r="F26" s="82" t="s">
        <v>59</v>
      </c>
      <c r="G26" s="82" t="s">
        <v>63</v>
      </c>
      <c r="H26" s="82">
        <v>99136186</v>
      </c>
      <c r="I26" s="82">
        <v>240</v>
      </c>
      <c r="J26" s="82">
        <v>1763521</v>
      </c>
      <c r="K26" s="82" t="s">
        <v>57</v>
      </c>
      <c r="L26" s="75"/>
      <c r="M26" s="77"/>
      <c r="N26" s="71"/>
    </row>
    <row r="27" spans="1:14" ht="18.5" x14ac:dyDescent="0.45">
      <c r="A27" s="70">
        <v>24</v>
      </c>
      <c r="B27" s="82" t="s">
        <v>47</v>
      </c>
      <c r="C27" s="82" t="s">
        <v>53</v>
      </c>
      <c r="D27" s="89" t="str">
        <f t="shared" si="0"/>
        <v>PT0127EH-42-BVI</v>
      </c>
      <c r="E27" s="82" t="s">
        <v>47</v>
      </c>
      <c r="F27" s="82" t="s">
        <v>60</v>
      </c>
      <c r="G27" s="82" t="s">
        <v>64</v>
      </c>
      <c r="H27" s="82">
        <v>99136217</v>
      </c>
      <c r="I27" s="82">
        <v>192</v>
      </c>
      <c r="J27" s="82">
        <v>1763521</v>
      </c>
      <c r="K27" s="82" t="s">
        <v>57</v>
      </c>
      <c r="L27" s="75"/>
      <c r="M27" s="77"/>
      <c r="N27" s="71"/>
    </row>
    <row r="28" spans="1:14" ht="18.5" x14ac:dyDescent="0.45">
      <c r="A28" s="70">
        <v>25</v>
      </c>
      <c r="B28" s="82" t="s">
        <v>48</v>
      </c>
      <c r="C28" s="82" t="s">
        <v>54</v>
      </c>
      <c r="D28" s="89" t="str">
        <f t="shared" si="0"/>
        <v>PT0128EH-42-085</v>
      </c>
      <c r="E28" s="82" t="s">
        <v>48</v>
      </c>
      <c r="F28" s="82" t="s">
        <v>61</v>
      </c>
      <c r="G28" s="82" t="s">
        <v>65</v>
      </c>
      <c r="H28" s="82">
        <v>99136198</v>
      </c>
      <c r="I28" s="82">
        <v>240</v>
      </c>
      <c r="J28" s="82">
        <v>1763521</v>
      </c>
      <c r="K28" s="82" t="s">
        <v>57</v>
      </c>
      <c r="L28" s="75"/>
      <c r="M28" s="77"/>
      <c r="N28" s="71"/>
    </row>
    <row r="29" spans="1:14" s="88" customFormat="1" ht="18.5" x14ac:dyDescent="0.45">
      <c r="A29" s="83">
        <v>26</v>
      </c>
      <c r="B29" s="84" t="s">
        <v>49</v>
      </c>
      <c r="C29" s="84" t="s">
        <v>54</v>
      </c>
      <c r="D29" s="89" t="str">
        <f t="shared" si="0"/>
        <v>PT0131EH-42-085</v>
      </c>
      <c r="E29" s="84" t="s">
        <v>49</v>
      </c>
      <c r="F29" s="84" t="s">
        <v>61</v>
      </c>
      <c r="G29" s="84" t="s">
        <v>66</v>
      </c>
      <c r="H29" s="84">
        <v>99136204</v>
      </c>
      <c r="I29" s="84">
        <v>192</v>
      </c>
      <c r="J29" s="84">
        <v>1763521</v>
      </c>
      <c r="K29" s="84" t="s">
        <v>57</v>
      </c>
      <c r="L29" s="85"/>
      <c r="M29" s="86"/>
      <c r="N29" s="87"/>
    </row>
    <row r="30" spans="1:14" ht="18.5" x14ac:dyDescent="0.45">
      <c r="A30" s="70">
        <v>27</v>
      </c>
      <c r="B30" s="82" t="s">
        <v>50</v>
      </c>
      <c r="C30" s="82" t="s">
        <v>53</v>
      </c>
      <c r="D30" s="89" t="str">
        <f t="shared" si="0"/>
        <v>PT0132EH-42-BVI</v>
      </c>
      <c r="E30" s="82" t="s">
        <v>50</v>
      </c>
      <c r="F30" s="82" t="s">
        <v>60</v>
      </c>
      <c r="G30" s="82" t="s">
        <v>67</v>
      </c>
      <c r="H30" s="82">
        <v>99136231</v>
      </c>
      <c r="I30" s="82">
        <v>192</v>
      </c>
      <c r="J30" s="82">
        <v>1763521</v>
      </c>
      <c r="K30" s="82" t="s">
        <v>57</v>
      </c>
      <c r="L30" s="75"/>
      <c r="M30" s="77"/>
      <c r="N30" s="71"/>
    </row>
    <row r="31" spans="1:14" ht="18.5" x14ac:dyDescent="0.45">
      <c r="A31" s="70">
        <v>28</v>
      </c>
      <c r="B31" s="82" t="s">
        <v>51</v>
      </c>
      <c r="C31" s="82" t="s">
        <v>55</v>
      </c>
      <c r="D31" s="89" t="str">
        <f t="shared" si="0"/>
        <v>PT0133EH-42-060</v>
      </c>
      <c r="E31" s="82" t="s">
        <v>51</v>
      </c>
      <c r="F31" s="82" t="s">
        <v>62</v>
      </c>
      <c r="G31" s="82" t="s">
        <v>68</v>
      </c>
      <c r="H31" s="82">
        <v>99136174</v>
      </c>
      <c r="I31" s="82">
        <v>192</v>
      </c>
      <c r="J31" s="82">
        <v>1763521</v>
      </c>
      <c r="K31" s="82" t="s">
        <v>57</v>
      </c>
      <c r="L31" s="75"/>
      <c r="M31" s="77"/>
      <c r="N31" s="71"/>
    </row>
    <row r="32" spans="1:14" s="88" customFormat="1" ht="18.5" x14ac:dyDescent="0.45">
      <c r="A32" s="83">
        <v>29</v>
      </c>
      <c r="B32" s="84" t="s">
        <v>46</v>
      </c>
      <c r="C32" s="84" t="s">
        <v>52</v>
      </c>
      <c r="D32" s="97" t="str">
        <f t="shared" si="0"/>
        <v>PT0126EH-42-3BB</v>
      </c>
      <c r="E32" s="84" t="s">
        <v>46</v>
      </c>
      <c r="F32" s="84" t="s">
        <v>59</v>
      </c>
      <c r="G32" s="84" t="s">
        <v>63</v>
      </c>
      <c r="H32" s="84">
        <v>99136186</v>
      </c>
      <c r="I32" s="84">
        <v>144</v>
      </c>
      <c r="J32" s="84">
        <v>1763522</v>
      </c>
      <c r="K32" s="84" t="s">
        <v>58</v>
      </c>
      <c r="L32" s="85"/>
      <c r="M32" s="86"/>
      <c r="N32" s="87"/>
    </row>
    <row r="33" spans="1:14" ht="18.5" x14ac:dyDescent="0.45">
      <c r="A33" s="70">
        <v>30</v>
      </c>
      <c r="B33" s="82" t="s">
        <v>47</v>
      </c>
      <c r="C33" s="82" t="s">
        <v>53</v>
      </c>
      <c r="D33" s="89" t="str">
        <f t="shared" si="0"/>
        <v>PT0127EH-42-BVI</v>
      </c>
      <c r="E33" s="82" t="s">
        <v>47</v>
      </c>
      <c r="F33" s="82" t="s">
        <v>60</v>
      </c>
      <c r="G33" s="82" t="s">
        <v>64</v>
      </c>
      <c r="H33" s="82">
        <v>99136217</v>
      </c>
      <c r="I33" s="82">
        <v>96</v>
      </c>
      <c r="J33" s="82">
        <v>1763522</v>
      </c>
      <c r="K33" s="82" t="s">
        <v>58</v>
      </c>
      <c r="L33" s="75"/>
      <c r="M33" s="77"/>
      <c r="N33" s="71"/>
    </row>
    <row r="34" spans="1:14" ht="18.5" x14ac:dyDescent="0.45">
      <c r="A34" s="70">
        <v>31</v>
      </c>
      <c r="B34" s="82" t="s">
        <v>48</v>
      </c>
      <c r="C34" s="82" t="s">
        <v>54</v>
      </c>
      <c r="D34" s="89" t="str">
        <f t="shared" si="0"/>
        <v>PT0128EH-42-085</v>
      </c>
      <c r="E34" s="82" t="s">
        <v>48</v>
      </c>
      <c r="F34" s="82" t="s">
        <v>61</v>
      </c>
      <c r="G34" s="82" t="s">
        <v>65</v>
      </c>
      <c r="H34" s="82">
        <v>99136198</v>
      </c>
      <c r="I34" s="82">
        <v>144</v>
      </c>
      <c r="J34" s="82">
        <v>1763522</v>
      </c>
      <c r="K34" s="82" t="s">
        <v>58</v>
      </c>
      <c r="L34" s="75"/>
      <c r="M34" s="77"/>
      <c r="N34" s="71"/>
    </row>
    <row r="35" spans="1:14" ht="18.5" x14ac:dyDescent="0.45">
      <c r="A35" s="70">
        <v>32</v>
      </c>
      <c r="B35" s="82" t="s">
        <v>49</v>
      </c>
      <c r="C35" s="82" t="s">
        <v>54</v>
      </c>
      <c r="D35" s="89" t="str">
        <f t="shared" si="0"/>
        <v>PT0131EH-42-085</v>
      </c>
      <c r="E35" s="82" t="s">
        <v>49</v>
      </c>
      <c r="F35" s="82" t="s">
        <v>61</v>
      </c>
      <c r="G35" s="82" t="s">
        <v>66</v>
      </c>
      <c r="H35" s="82">
        <v>99136204</v>
      </c>
      <c r="I35" s="82">
        <v>96</v>
      </c>
      <c r="J35" s="82">
        <v>1763522</v>
      </c>
      <c r="K35" s="82" t="s">
        <v>58</v>
      </c>
      <c r="L35" s="75"/>
      <c r="M35" s="77"/>
      <c r="N35" s="71"/>
    </row>
    <row r="36" spans="1:14" ht="18.5" x14ac:dyDescent="0.45">
      <c r="A36" s="70">
        <v>33</v>
      </c>
      <c r="B36" s="82" t="s">
        <v>50</v>
      </c>
      <c r="C36" s="82" t="s">
        <v>53</v>
      </c>
      <c r="D36" s="89" t="str">
        <f t="shared" si="0"/>
        <v>PT0132EH-42-BVI</v>
      </c>
      <c r="E36" s="82" t="s">
        <v>50</v>
      </c>
      <c r="F36" s="82" t="s">
        <v>60</v>
      </c>
      <c r="G36" s="82" t="s">
        <v>67</v>
      </c>
      <c r="H36" s="82">
        <v>99136231</v>
      </c>
      <c r="I36" s="82">
        <v>96</v>
      </c>
      <c r="J36" s="82">
        <v>1763522</v>
      </c>
      <c r="K36" s="82" t="s">
        <v>58</v>
      </c>
      <c r="L36" s="75"/>
      <c r="M36" s="77"/>
      <c r="N36" s="71"/>
    </row>
    <row r="37" spans="1:14" ht="18.5" x14ac:dyDescent="0.45">
      <c r="A37" s="70">
        <v>34</v>
      </c>
      <c r="B37" s="82" t="s">
        <v>51</v>
      </c>
      <c r="C37" s="82" t="s">
        <v>55</v>
      </c>
      <c r="D37" s="89" t="str">
        <f t="shared" si="0"/>
        <v>PT0133EH-42-060</v>
      </c>
      <c r="E37" s="82" t="s">
        <v>51</v>
      </c>
      <c r="F37" s="82" t="s">
        <v>62</v>
      </c>
      <c r="G37" s="82" t="s">
        <v>68</v>
      </c>
      <c r="H37" s="82">
        <v>99136174</v>
      </c>
      <c r="I37" s="82">
        <v>96</v>
      </c>
      <c r="J37" s="82">
        <v>1763522</v>
      </c>
      <c r="K37" s="82" t="s">
        <v>58</v>
      </c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PT0126EH-42-3BB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PT0126EH-42</v>
      </c>
      <c r="C76" s="61" t="str">
        <f>INDEX($A$20:$I$63,$A76,3)</f>
        <v>3BB</v>
      </c>
      <c r="D76" s="17"/>
      <c r="E76" s="60">
        <f>INDEX($A$20:$I$63,$A76,9)</f>
        <v>48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99136186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PT0126EH-42/BlackLTBLUE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EDH BlkBlu IPh16 ProMax MagSafe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2026-06-09T17:32:11Z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