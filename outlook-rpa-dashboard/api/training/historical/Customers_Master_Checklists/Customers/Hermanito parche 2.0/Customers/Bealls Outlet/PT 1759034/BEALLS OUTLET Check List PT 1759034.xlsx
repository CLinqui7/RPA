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72" documentId="8_{0EBB2938-9D16-473B-B306-699D55C5D276}" xr6:coauthVersionLast="47" xr6:coauthVersionMax="47" xr10:uidLastSave="{209974CC-0BE9-43AE-9151-E26B909B4064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<sst xmlns="http://schemas.openxmlformats.org/spreadsheetml/2006/main" count="69" uniqueCount="59">
  <si>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</si>
  <si>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</si>
  <si>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</si>
  <si>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</si>
  <si>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</si>
  <si>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</si>
  <si>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</si>
  <si>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</si>
  <si>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</si>
  <si>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</si>
  <si>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</si>
  <si>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</si>
  <si>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</si>
  <si>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</si>
  <si>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</si>
  <si>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</si>
  <si>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</si>
  <si>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</si>
  <si>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</si>
  <si>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</si>
  <si>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</si>
  <si>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</si>
  <si>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</si>
  <si>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</si>
  <si>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</si>
  <si>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</si>
  <si>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</si>
  <si>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</si>
  <si>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</si>
  <si>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</si>
  <si>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</si>
  <si>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</si>
  <si>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</si>
  <si>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</si>
  <si>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</si>
  <si>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</si>
  <si>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</si>
  <si>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</si>
  <si>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</si>
  <si>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</si>
  <si>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</si>
  <si>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</si>
  <si>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</si>
  <si>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</si>
  <si>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</si>
  <si>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</si>
  <si>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EHH108-26</t>
  </si>
  <si>
    <t>EVP</t>
  </si>
  <si>
    <t>LPT</t>
  </si>
  <si>
    <t>TLP</t>
  </si>
  <si>
    <t>EHH108-26-EVP</t>
  </si>
  <si>
    <t>EHH108-26-LPT</t>
  </si>
  <si>
    <t>EHH108-26-TLP</t>
  </si>
  <si>
    <t>Black Tattoo</t>
  </si>
  <si>
    <t>Black Multi</t>
  </si>
  <si>
    <t>Pink</t>
  </si>
  <si>
    <t>Eve Twill Tote</t>
  </si>
  <si>
    <t>Lulu Twill Tote</t>
  </si>
  <si>
    <t>Tillie Twill Tote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</si>
</sst>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32" fillId="0" borderId="1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B1" zoomScaleNormal="100" workbookViewId="0">
      <selection activeCell="E28" sqref="E28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tr">
        <f t="shared" ref="D20:D23" si="0">B20&amp;"-"&amp;C20</f>
        <v>EHH108-26-EVP</v>
      </c>
      <c r="E20" s="54" t="s">
        <v>50</v>
      </c>
      <c r="F20" s="50" t="s">
        <v>53</v>
      </c>
      <c r="G20" s="50" t="s">
        <v>56</v>
      </c>
      <c r="H20" s="50">
        <v>99153227</v>
      </c>
      <c r="I20" s="54">
        <v>100</v>
      </c>
      <c r="J20" s="78">
        <v>1759034</v>
      </c>
      <c r="K20" s="78">
        <v>1858368</v>
      </c>
      <c r="L20" s="50"/>
      <c r="M20" s="85"/>
      <c r="N20" s="70"/>
    </row>
    <row r="21" spans="1:14" ht="14.5" x14ac:dyDescent="0.35">
      <c r="A21" s="69">
        <v>2</v>
      </c>
      <c r="B21" s="54" t="s">
        <v>46</v>
      </c>
      <c r="C21" s="54" t="s">
        <v>48</v>
      </c>
      <c r="D21" s="54" t="str">
        <f t="shared" si="0"/>
        <v>EHH108-26-LPT</v>
      </c>
      <c r="E21" s="54" t="s">
        <v>51</v>
      </c>
      <c r="F21" s="50" t="s">
        <v>54</v>
      </c>
      <c r="G21" s="50" t="s">
        <v>57</v>
      </c>
      <c r="H21" s="50">
        <v>99153172</v>
      </c>
      <c r="I21" s="54">
        <v>194</v>
      </c>
      <c r="J21" s="78">
        <v>1759034</v>
      </c>
      <c r="K21" s="78">
        <v>1858368</v>
      </c>
      <c r="L21" s="50"/>
      <c r="M21" s="85"/>
      <c r="N21" s="70"/>
    </row>
    <row r="22" spans="1:14" ht="14.5" x14ac:dyDescent="0.35">
      <c r="A22" s="69">
        <v>3</v>
      </c>
      <c r="B22" s="54" t="s">
        <v>46</v>
      </c>
      <c r="C22" s="54" t="s">
        <v>49</v>
      </c>
      <c r="D22" s="54" t="str">
        <f t="shared" si="0"/>
        <v>EHH108-26-TLP</v>
      </c>
      <c r="E22" s="54" t="s">
        <v>52</v>
      </c>
      <c r="F22" s="50" t="s">
        <v>55</v>
      </c>
      <c r="G22" s="50" t="s">
        <v>58</v>
      </c>
      <c r="H22" s="50">
        <v>99153239</v>
      </c>
      <c r="I22" s="54">
        <v>191</v>
      </c>
      <c r="J22" s="78">
        <v>1759034</v>
      </c>
      <c r="K22" s="78">
        <v>1858368</v>
      </c>
      <c r="L22" s="50"/>
      <c r="M22" s="85"/>
      <c r="N22" s="70"/>
    </row>
    <row r="23" spans="1:14" ht="14.5" x14ac:dyDescent="0.35">
      <c r="A23" s="69">
        <v>4</v>
      </c>
      <c r="B23" s="54"/>
      <c r="C23" s="54"/>
      <c r="D23" s="54"/>
      <c r="E23" s="54"/>
      <c r="F23" s="50"/>
      <c r="G23" s="50"/>
      <c r="H23" s="50"/>
      <c r="I23" s="86"/>
      <c r="J23" s="78"/>
      <c r="K23" s="78"/>
      <c r="L23" s="50"/>
      <c r="M23" s="85"/>
      <c r="N23" s="70"/>
    </row>
    <row r="24" spans="1:14" ht="14.5" x14ac:dyDescent="0.35">
      <c r="A24" s="69">
        <v>5</v>
      </c>
      <c r="B24" s="54"/>
      <c r="C24" s="54"/>
      <c r="D24" s="54"/>
      <c r="E24" s="54"/>
      <c r="F24" s="50"/>
      <c r="G24" s="50"/>
      <c r="H24" s="50"/>
      <c r="I24" s="54"/>
      <c r="J24" s="78"/>
      <c r="K24" s="78"/>
      <c r="L24" s="50"/>
      <c r="M24" s="85"/>
      <c r="N24" s="70"/>
    </row>
    <row r="25" spans="1:14" ht="14.5" x14ac:dyDescent="0.3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78"/>
      <c r="K25" s="78"/>
      <c r="L25" s="74"/>
      <c r="M25" s="77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74"/>
      <c r="M26" s="77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74"/>
      <c r="M27" s="77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EHH108-26-EVP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EHH108-26</v>
      </c>
      <c r="C92" s="61" t="str">
        <f>INDEX($A$20:$I$79,$A92,3)</f>
        <v>EVP</v>
      </c>
      <c r="D92" s="17"/>
      <c r="E92" s="60">
        <f>INDEX($A$20:$I$79,$A92,9)</f>
        <v>100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99153227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EHH108-26-EVP/Black Tattoo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Eve Twill Tote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2026-05-19T14:18:15Z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