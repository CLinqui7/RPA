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New folder/"/>
    </mc:Choice>
  </mc:AlternateContent>
  <xr:revisionPtr revIDLastSave="258" documentId="8_{0EBB2938-9D16-473B-B306-699D55C5D276}" xr6:coauthVersionLast="47" xr6:coauthVersionMax="47" xr10:uidLastSave="{BE97C9D0-6DF9-47B1-95E5-53D145F997F7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20" i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<sst xmlns="http://schemas.openxmlformats.org/spreadsheetml/2006/main" count="144" uniqueCount="101">
  <si>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</si>
  <si>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</si>
  <si>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</si>
  <si>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</si>
  <si>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</si>
  <si>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</si>
  <si>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</si>
  <si>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</si>
  <si>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</si>
  <si>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</si>
  <si>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</si>
  <si>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</si>
  <si>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</si>
  <si>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</si>
  <si>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</si>
  <si>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</si>
  <si>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</si>
  <si>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</si>
  <si>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</si>
  <si>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</si>
  <si>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</si>
  <si>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</si>
  <si>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</si>
  <si>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</si>
  <si>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</si>
  <si>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</si>
  <si>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</si>
  <si>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</si>
  <si>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</si>
  <si>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</si>
  <si>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</si>
  <si>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</si>
  <si>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</si>
  <si>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</si>
  <si>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</si>
  <si>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</si>
  <si>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</si>
  <si>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</si>
  <si>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</si>
  <si>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</si>
  <si>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</si>
  <si>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</si>
  <si>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</si>
  <si>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</si>
  <si>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</si>
  <si>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</si>
  <si>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1916188</t>
  </si>
  <si>
    <t>EHW414A/B-42</t>
  </si>
  <si>
    <t>EHW422-42</t>
  </si>
  <si>
    <t>EHW425-42</t>
  </si>
  <si>
    <t>EHW426-42</t>
  </si>
  <si>
    <t>EHW430-42</t>
  </si>
  <si>
    <t>EHW434A/B-42</t>
  </si>
  <si>
    <t>EHW529-42</t>
  </si>
  <si>
    <t>EHW531-42</t>
  </si>
  <si>
    <t>EHW552-42</t>
  </si>
  <si>
    <t>085</t>
  </si>
  <si>
    <t>734</t>
  </si>
  <si>
    <t>89K</t>
  </si>
  <si>
    <t>DNM</t>
  </si>
  <si>
    <t>009</t>
  </si>
  <si>
    <t>410</t>
  </si>
  <si>
    <t>003</t>
  </si>
  <si>
    <t>033</t>
  </si>
  <si>
    <t>EHW414A/B-42-085</t>
  </si>
  <si>
    <t>EHW422-42-734</t>
  </si>
  <si>
    <t>EHW425-42-89K</t>
  </si>
  <si>
    <t>EHW426-42-DNM</t>
  </si>
  <si>
    <t>EHW430-42-009</t>
  </si>
  <si>
    <t>EHW434A/B-42-410</t>
  </si>
  <si>
    <t>EHW434A/B-42-89K</t>
  </si>
  <si>
    <t>EHW529-42-003</t>
  </si>
  <si>
    <t>EHW529-42-009</t>
  </si>
  <si>
    <t>EHW529-42-033</t>
  </si>
  <si>
    <t>EHW531-42-003</t>
  </si>
  <si>
    <t>EHW531-42-009</t>
  </si>
  <si>
    <t>EHW552-42-003</t>
  </si>
  <si>
    <t>EHW552-42-009</t>
  </si>
  <si>
    <t>EHW552-42-033</t>
  </si>
  <si>
    <t>Black/Red</t>
  </si>
  <si>
    <t>Grey/Black</t>
  </si>
  <si>
    <t>Pink/Black</t>
  </si>
  <si>
    <t>Denim/Black</t>
  </si>
  <si>
    <t>Pink</t>
  </si>
  <si>
    <t>Red</t>
  </si>
  <si>
    <t>Black</t>
  </si>
  <si>
    <t>Heloise Zip Around BLACKRED</t>
  </si>
  <si>
    <t>Aubrey Zip Around GREYBLACK</t>
  </si>
  <si>
    <t>Aubrey Trifold PINKBLACK</t>
  </si>
  <si>
    <t>Elsa Zip Around DENIMBLACK</t>
  </si>
  <si>
    <t>Elsa Zip Around PINK</t>
  </si>
  <si>
    <t>Anita Zip Around RED</t>
  </si>
  <si>
    <t>Anita Zip Around PINK</t>
  </si>
  <si>
    <t>Haven Kisslock with a Chain BLACK</t>
  </si>
  <si>
    <t>Haven Kisslock with a Chain PINK</t>
  </si>
  <si>
    <t>Haven Kisslock with a Chain RED</t>
  </si>
  <si>
    <t>Haven Cardholder BLACK</t>
  </si>
  <si>
    <t>Haven Cardholder PINK</t>
  </si>
  <si>
    <t>Elsa Cardcase Black</t>
  </si>
  <si>
    <t>Elsa Cardcase PINK</t>
  </si>
  <si>
    <t>Elsa Cardcase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</si>
</sst>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6"/>
      <name val="Arial"/>
      <family val="2"/>
    </font>
    <font>
      <sz val="16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11" borderId="1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D45" sqref="D45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9.08984375" customWidth="1"/>
    <col min="5" max="5" width="33.6328125" customWidth="1"/>
    <col min="6" max="6" width="18.81640625" customWidth="1"/>
    <col min="7" max="7" width="55.0898437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21" x14ac:dyDescent="0.5">
      <c r="A20" s="70">
        <v>1</v>
      </c>
      <c r="B20" s="85" t="s">
        <v>47</v>
      </c>
      <c r="C20" s="85" t="s">
        <v>56</v>
      </c>
      <c r="D20" s="85" t="str">
        <f t="shared" ref="D20:D34" si="0">B20&amp;"-"&amp;C20</f>
        <v>EHW414A/B-42-085</v>
      </c>
      <c r="E20" s="85" t="s">
        <v>64</v>
      </c>
      <c r="F20" s="85" t="s">
        <v>79</v>
      </c>
      <c r="G20" s="85" t="s">
        <v>86</v>
      </c>
      <c r="H20" s="85">
        <v>509985</v>
      </c>
      <c r="I20" s="85">
        <v>30</v>
      </c>
      <c r="J20" s="86">
        <v>1762491</v>
      </c>
      <c r="K20" s="86" t="s">
        <v>46</v>
      </c>
      <c r="L20" s="75"/>
      <c r="M20" s="78"/>
      <c r="N20" s="71"/>
    </row>
    <row r="21" spans="1:14" ht="21" x14ac:dyDescent="0.5">
      <c r="A21" s="70">
        <v>2</v>
      </c>
      <c r="B21" s="85" t="s">
        <v>48</v>
      </c>
      <c r="C21" s="85" t="s">
        <v>57</v>
      </c>
      <c r="D21" s="85" t="str">
        <f t="shared" si="0"/>
        <v>EHW422-42-734</v>
      </c>
      <c r="E21" s="85" t="s">
        <v>65</v>
      </c>
      <c r="F21" s="85" t="s">
        <v>80</v>
      </c>
      <c r="G21" s="85" t="s">
        <v>87</v>
      </c>
      <c r="H21" s="85">
        <v>510007</v>
      </c>
      <c r="I21" s="85">
        <v>60</v>
      </c>
      <c r="J21" s="86">
        <v>1762491</v>
      </c>
      <c r="K21" s="86" t="s">
        <v>46</v>
      </c>
      <c r="L21" s="75"/>
      <c r="M21" s="78"/>
      <c r="N21" s="71"/>
    </row>
    <row r="22" spans="1:14" ht="20" x14ac:dyDescent="0.4">
      <c r="A22" s="70">
        <v>19</v>
      </c>
      <c r="B22" s="85" t="s">
        <v>49</v>
      </c>
      <c r="C22" s="85" t="s">
        <v>58</v>
      </c>
      <c r="D22" s="85" t="str">
        <f t="shared" si="0"/>
        <v>EHW425-42-89K</v>
      </c>
      <c r="E22" s="85" t="s">
        <v>66</v>
      </c>
      <c r="F22" s="85" t="s">
        <v>81</v>
      </c>
      <c r="G22" s="85" t="s">
        <v>88</v>
      </c>
      <c r="H22" s="85">
        <v>510098</v>
      </c>
      <c r="I22" s="85">
        <v>30</v>
      </c>
      <c r="J22" s="85">
        <v>1762491</v>
      </c>
      <c r="K22" s="85" t="s">
        <v>46</v>
      </c>
      <c r="L22" s="75"/>
      <c r="M22" s="78"/>
      <c r="N22" s="71"/>
    </row>
    <row r="23" spans="1:14" ht="20" x14ac:dyDescent="0.4">
      <c r="A23" s="70">
        <v>20</v>
      </c>
      <c r="B23" s="85" t="s">
        <v>50</v>
      </c>
      <c r="C23" s="85" t="s">
        <v>59</v>
      </c>
      <c r="D23" s="85" t="str">
        <f t="shared" si="0"/>
        <v>EHW426-42-DNM</v>
      </c>
      <c r="E23" s="85" t="s">
        <v>67</v>
      </c>
      <c r="F23" s="85" t="s">
        <v>82</v>
      </c>
      <c r="G23" s="85" t="s">
        <v>89</v>
      </c>
      <c r="H23" s="85">
        <v>509997</v>
      </c>
      <c r="I23" s="85">
        <v>60</v>
      </c>
      <c r="J23" s="85">
        <v>1762491</v>
      </c>
      <c r="K23" s="85" t="s">
        <v>46</v>
      </c>
      <c r="L23" s="75"/>
      <c r="M23" s="78"/>
      <c r="N23" s="71"/>
    </row>
    <row r="24" spans="1:14" ht="20" x14ac:dyDescent="0.4">
      <c r="A24" s="70">
        <v>21</v>
      </c>
      <c r="B24" s="85" t="s">
        <v>51</v>
      </c>
      <c r="C24" s="85" t="s">
        <v>60</v>
      </c>
      <c r="D24" s="85" t="str">
        <f t="shared" si="0"/>
        <v>EHW430-42-009</v>
      </c>
      <c r="E24" s="85" t="s">
        <v>68</v>
      </c>
      <c r="F24" s="85" t="s">
        <v>83</v>
      </c>
      <c r="G24" s="85" t="s">
        <v>90</v>
      </c>
      <c r="H24" s="85">
        <v>510086</v>
      </c>
      <c r="I24" s="85">
        <v>30</v>
      </c>
      <c r="J24" s="85">
        <v>1762491</v>
      </c>
      <c r="K24" s="85" t="s">
        <v>46</v>
      </c>
      <c r="L24" s="75"/>
      <c r="M24" s="78"/>
      <c r="N24" s="71"/>
    </row>
    <row r="25" spans="1:14" ht="20" x14ac:dyDescent="0.4">
      <c r="A25" s="70">
        <v>22</v>
      </c>
      <c r="B25" s="85" t="s">
        <v>52</v>
      </c>
      <c r="C25" s="85" t="s">
        <v>61</v>
      </c>
      <c r="D25" s="85" t="str">
        <f t="shared" si="0"/>
        <v>EHW434A/B-42-410</v>
      </c>
      <c r="E25" s="85" t="s">
        <v>69</v>
      </c>
      <c r="F25" s="85" t="s">
        <v>84</v>
      </c>
      <c r="G25" s="85" t="s">
        <v>91</v>
      </c>
      <c r="H25" s="85">
        <v>510034</v>
      </c>
      <c r="I25" s="85">
        <v>60</v>
      </c>
      <c r="J25" s="85">
        <v>1762491</v>
      </c>
      <c r="K25" s="85" t="s">
        <v>46</v>
      </c>
      <c r="L25" s="75"/>
      <c r="M25" s="78"/>
      <c r="N25" s="71"/>
    </row>
    <row r="26" spans="1:14" ht="20" x14ac:dyDescent="0.4">
      <c r="A26" s="70">
        <v>23</v>
      </c>
      <c r="B26" s="85" t="s">
        <v>52</v>
      </c>
      <c r="C26" s="85" t="s">
        <v>58</v>
      </c>
      <c r="D26" s="85" t="str">
        <f t="shared" si="0"/>
        <v>EHW434A/B-42-89K</v>
      </c>
      <c r="E26" s="85" t="s">
        <v>70</v>
      </c>
      <c r="F26" s="85" t="s">
        <v>83</v>
      </c>
      <c r="G26" s="85" t="s">
        <v>92</v>
      </c>
      <c r="H26" s="85">
        <v>510047</v>
      </c>
      <c r="I26" s="85">
        <v>60</v>
      </c>
      <c r="J26" s="85">
        <v>1762491</v>
      </c>
      <c r="K26" s="85" t="s">
        <v>46</v>
      </c>
      <c r="L26" s="75"/>
      <c r="M26" s="78"/>
      <c r="N26" s="71"/>
    </row>
    <row r="27" spans="1:14" ht="20" x14ac:dyDescent="0.4">
      <c r="A27" s="70">
        <v>24</v>
      </c>
      <c r="B27" s="85" t="s">
        <v>53</v>
      </c>
      <c r="C27" s="85" t="s">
        <v>62</v>
      </c>
      <c r="D27" s="85" t="str">
        <f t="shared" si="0"/>
        <v>EHW529-42-003</v>
      </c>
      <c r="E27" s="85" t="s">
        <v>71</v>
      </c>
      <c r="F27" s="85" t="s">
        <v>85</v>
      </c>
      <c r="G27" s="85" t="s">
        <v>93</v>
      </c>
      <c r="H27" s="85">
        <v>509958</v>
      </c>
      <c r="I27" s="85">
        <v>80</v>
      </c>
      <c r="J27" s="85">
        <v>1762491</v>
      </c>
      <c r="K27" s="85" t="s">
        <v>46</v>
      </c>
      <c r="L27" s="75"/>
      <c r="M27" s="78"/>
      <c r="N27" s="71"/>
    </row>
    <row r="28" spans="1:14" ht="20" x14ac:dyDescent="0.4">
      <c r="A28" s="70">
        <v>25</v>
      </c>
      <c r="B28" s="85" t="s">
        <v>53</v>
      </c>
      <c r="C28" s="85" t="s">
        <v>60</v>
      </c>
      <c r="D28" s="85" t="str">
        <f t="shared" si="0"/>
        <v>EHW529-42-009</v>
      </c>
      <c r="E28" s="85" t="s">
        <v>72</v>
      </c>
      <c r="F28" s="85" t="s">
        <v>83</v>
      </c>
      <c r="G28" s="85" t="s">
        <v>94</v>
      </c>
      <c r="H28" s="85">
        <v>510061</v>
      </c>
      <c r="I28" s="85">
        <v>80</v>
      </c>
      <c r="J28" s="85">
        <v>1762491</v>
      </c>
      <c r="K28" s="85" t="s">
        <v>46</v>
      </c>
      <c r="L28" s="75"/>
      <c r="M28" s="78"/>
      <c r="N28" s="71"/>
    </row>
    <row r="29" spans="1:14" ht="20" x14ac:dyDescent="0.4">
      <c r="A29" s="70">
        <v>26</v>
      </c>
      <c r="B29" s="85" t="s">
        <v>53</v>
      </c>
      <c r="C29" s="85" t="s">
        <v>63</v>
      </c>
      <c r="D29" s="85" t="str">
        <f t="shared" si="0"/>
        <v>EHW529-42-033</v>
      </c>
      <c r="E29" s="85" t="s">
        <v>73</v>
      </c>
      <c r="F29" s="85" t="s">
        <v>84</v>
      </c>
      <c r="G29" s="85" t="s">
        <v>95</v>
      </c>
      <c r="H29" s="85">
        <v>510010</v>
      </c>
      <c r="I29" s="85">
        <v>60</v>
      </c>
      <c r="J29" s="85">
        <v>1762491</v>
      </c>
      <c r="K29" s="85" t="s">
        <v>46</v>
      </c>
      <c r="L29" s="75"/>
      <c r="M29" s="78"/>
      <c r="N29" s="71"/>
    </row>
    <row r="30" spans="1:14" ht="20" x14ac:dyDescent="0.4">
      <c r="A30" s="70">
        <v>27</v>
      </c>
      <c r="B30" s="85" t="s">
        <v>54</v>
      </c>
      <c r="C30" s="85" t="s">
        <v>62</v>
      </c>
      <c r="D30" s="85" t="str">
        <f t="shared" si="0"/>
        <v>EHW531-42-003</v>
      </c>
      <c r="E30" s="85" t="s">
        <v>74</v>
      </c>
      <c r="F30" s="85" t="s">
        <v>85</v>
      </c>
      <c r="G30" s="85" t="s">
        <v>96</v>
      </c>
      <c r="H30" s="85">
        <v>509960</v>
      </c>
      <c r="I30" s="85">
        <v>30</v>
      </c>
      <c r="J30" s="85">
        <v>1762491</v>
      </c>
      <c r="K30" s="85" t="s">
        <v>46</v>
      </c>
      <c r="L30" s="75"/>
      <c r="M30" s="78"/>
      <c r="N30" s="71"/>
    </row>
    <row r="31" spans="1:14" ht="20" x14ac:dyDescent="0.4">
      <c r="A31" s="70">
        <v>28</v>
      </c>
      <c r="B31" s="85" t="s">
        <v>54</v>
      </c>
      <c r="C31" s="85" t="s">
        <v>60</v>
      </c>
      <c r="D31" s="85" t="str">
        <f t="shared" si="0"/>
        <v>EHW531-42-009</v>
      </c>
      <c r="E31" s="85" t="s">
        <v>75</v>
      </c>
      <c r="F31" s="85" t="s">
        <v>83</v>
      </c>
      <c r="G31" s="85" t="s">
        <v>97</v>
      </c>
      <c r="H31" s="85">
        <v>510074</v>
      </c>
      <c r="I31" s="85">
        <v>60</v>
      </c>
      <c r="J31" s="85">
        <v>1762491</v>
      </c>
      <c r="K31" s="85" t="s">
        <v>46</v>
      </c>
      <c r="L31" s="75"/>
      <c r="M31" s="78"/>
      <c r="N31" s="71"/>
    </row>
    <row r="32" spans="1:14" ht="20" x14ac:dyDescent="0.4">
      <c r="A32" s="70">
        <v>29</v>
      </c>
      <c r="B32" s="85" t="s">
        <v>55</v>
      </c>
      <c r="C32" s="85" t="s">
        <v>62</v>
      </c>
      <c r="D32" s="85" t="str">
        <f t="shared" si="0"/>
        <v>EHW552-42-003</v>
      </c>
      <c r="E32" s="85" t="s">
        <v>76</v>
      </c>
      <c r="F32" s="85" t="s">
        <v>85</v>
      </c>
      <c r="G32" s="85" t="s">
        <v>98</v>
      </c>
      <c r="H32" s="85">
        <v>509973</v>
      </c>
      <c r="I32" s="85">
        <v>80</v>
      </c>
      <c r="J32" s="85">
        <v>1762491</v>
      </c>
      <c r="K32" s="85" t="s">
        <v>46</v>
      </c>
      <c r="L32" s="75"/>
      <c r="M32" s="78"/>
      <c r="N32" s="71"/>
    </row>
    <row r="33" spans="1:14" ht="20" x14ac:dyDescent="0.4">
      <c r="A33" s="70">
        <v>30</v>
      </c>
      <c r="B33" s="85" t="s">
        <v>55</v>
      </c>
      <c r="C33" s="85" t="s">
        <v>60</v>
      </c>
      <c r="D33" s="85" t="str">
        <f t="shared" si="0"/>
        <v>EHW552-42-009</v>
      </c>
      <c r="E33" s="85" t="s">
        <v>77</v>
      </c>
      <c r="F33" s="87" t="s">
        <v>83</v>
      </c>
      <c r="G33" s="85" t="s">
        <v>99</v>
      </c>
      <c r="H33" s="85">
        <v>510059</v>
      </c>
      <c r="I33" s="85">
        <v>60</v>
      </c>
      <c r="J33" s="85">
        <v>1762491</v>
      </c>
      <c r="K33" s="85" t="s">
        <v>46</v>
      </c>
      <c r="L33" s="75"/>
      <c r="M33" s="78"/>
      <c r="N33" s="71"/>
    </row>
    <row r="34" spans="1:14" ht="20" x14ac:dyDescent="0.4">
      <c r="A34" s="70">
        <v>31</v>
      </c>
      <c r="B34" s="85" t="s">
        <v>55</v>
      </c>
      <c r="C34" s="85" t="s">
        <v>63</v>
      </c>
      <c r="D34" s="85" t="str">
        <f t="shared" si="0"/>
        <v>EHW552-42-033</v>
      </c>
      <c r="E34" s="85" t="s">
        <v>78</v>
      </c>
      <c r="F34" s="87" t="s">
        <v>84</v>
      </c>
      <c r="G34" s="85" t="s">
        <v>100</v>
      </c>
      <c r="H34" s="85">
        <v>510022</v>
      </c>
      <c r="I34" s="85">
        <v>30</v>
      </c>
      <c r="J34" s="85">
        <v>1762491</v>
      </c>
      <c r="K34" s="85" t="s">
        <v>46</v>
      </c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EHW414A/B-42-085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EHW414A/B-42</v>
      </c>
      <c r="C76" s="61" t="str">
        <f>INDEX($A$20:$I$63,$A76,3)</f>
        <v>085</v>
      </c>
      <c r="D76" s="17"/>
      <c r="E76" s="60">
        <f>INDEX($A$20:$I$63,$A76,9)</f>
        <v>30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509985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EHW414A/B-42-085/Black/Red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Heloise Zip Around BLACKRED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2026-06-04T17:48:18Z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