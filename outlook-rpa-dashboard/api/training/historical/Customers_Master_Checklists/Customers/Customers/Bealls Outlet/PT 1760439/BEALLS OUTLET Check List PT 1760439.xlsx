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30" documentId="8_{0EBB2938-9D16-473B-B306-699D55C5D276}" xr6:coauthVersionLast="47" xr6:coauthVersionMax="47" xr10:uidLastSave="{F348BD5C-A172-4EE1-A48D-B9F11BE90CEE}"/>
  <bookViews>
    <workbookView xWindow="28680" yWindow="-1149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<sst xmlns="http://schemas.openxmlformats.org/spreadsheetml/2006/main" count="66" uniqueCount="53">
  <si>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</si>
  <si>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</si>
  <si>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</si>
  <si>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</si>
  <si>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</si>
  <si>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</si>
  <si>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</si>
  <si>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</si>
  <si>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</si>
  <si>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</si>
  <si>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</si>
  <si>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</si>
  <si>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</si>
  <si>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</si>
  <si>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</si>
  <si>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</si>
  <si>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</si>
  <si>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</si>
  <si>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</si>
  <si>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</si>
  <si>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</si>
  <si>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</si>
  <si>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</si>
  <si>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</si>
  <si>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</si>
  <si>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</si>
  <si>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</si>
  <si>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</si>
  <si>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</si>
  <si>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</si>
  <si>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</si>
  <si>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</si>
  <si>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</si>
  <si>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</si>
  <si>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</si>
  <si>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</si>
  <si>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</si>
  <si>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</si>
  <si>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</si>
  <si>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</si>
  <si>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</si>
  <si>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</si>
  <si>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</si>
  <si>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</si>
  <si>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</si>
  <si>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</si>
  <si>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PL1694NL-42</t>
  </si>
  <si>
    <t>PL1812NL-42</t>
  </si>
  <si>
    <t>048</t>
  </si>
  <si>
    <t>Multi Pattern</t>
  </si>
  <si>
    <t>3pc bronze drops mist and body brush</t>
  </si>
  <si>
    <t>4pc 1.7oz body butters</t>
  </si>
  <si>
    <t>1904067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</si>
</sst>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D34" sqref="D3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6" t="s">
        <v>46</v>
      </c>
      <c r="C20" s="86" t="s">
        <v>48</v>
      </c>
      <c r="D20" s="86" t="str">
        <f t="shared" ref="D20:D21" si="0">B20&amp;"-"&amp;C20</f>
        <v>PL1694NL-42-048</v>
      </c>
      <c r="E20" s="86" t="s">
        <v>46</v>
      </c>
      <c r="F20" s="86" t="s">
        <v>49</v>
      </c>
      <c r="G20" s="86" t="s">
        <v>50</v>
      </c>
      <c r="H20" s="86">
        <v>199721</v>
      </c>
      <c r="I20" s="86">
        <v>264</v>
      </c>
      <c r="J20" s="87">
        <v>1760439</v>
      </c>
      <c r="K20" s="87" t="s">
        <v>52</v>
      </c>
      <c r="L20" s="75"/>
      <c r="M20" s="78"/>
      <c r="N20" s="71"/>
    </row>
    <row r="21" spans="1:14" ht="18.5" x14ac:dyDescent="0.45">
      <c r="A21" s="70">
        <v>2</v>
      </c>
      <c r="B21" s="86" t="s">
        <v>47</v>
      </c>
      <c r="C21" s="86" t="s">
        <v>48</v>
      </c>
      <c r="D21" s="86" t="str">
        <f t="shared" si="0"/>
        <v>PL1812NL-42-048</v>
      </c>
      <c r="E21" s="86" t="s">
        <v>47</v>
      </c>
      <c r="F21" s="86" t="s">
        <v>49</v>
      </c>
      <c r="G21" s="86" t="s">
        <v>51</v>
      </c>
      <c r="H21" s="86">
        <v>199719</v>
      </c>
      <c r="I21" s="86">
        <v>270</v>
      </c>
      <c r="J21" s="87">
        <v>1760439</v>
      </c>
      <c r="K21" s="87" t="s">
        <v>52</v>
      </c>
      <c r="L21" s="75"/>
      <c r="M21" s="78"/>
      <c r="N21" s="71"/>
    </row>
    <row r="22" spans="1:14" ht="15.5" x14ac:dyDescent="0.35">
      <c r="A22" s="70">
        <v>19</v>
      </c>
      <c r="B22" s="80"/>
      <c r="C22" s="80"/>
      <c r="D22" s="80"/>
      <c r="E22" s="50"/>
      <c r="F22" s="50"/>
      <c r="G22" s="50"/>
      <c r="H22" s="50"/>
      <c r="I22" s="80"/>
      <c r="J22" s="80"/>
      <c r="K22" s="80"/>
      <c r="L22" s="75"/>
      <c r="M22" s="78"/>
      <c r="N22" s="71"/>
    </row>
    <row r="23" spans="1:14" ht="15.5" x14ac:dyDescent="0.35">
      <c r="A23" s="70">
        <v>20</v>
      </c>
      <c r="B23" s="80"/>
      <c r="C23" s="80"/>
      <c r="D23" s="80"/>
      <c r="E23" s="50"/>
      <c r="F23" s="50"/>
      <c r="G23" s="50"/>
      <c r="H23" s="50"/>
      <c r="I23" s="80"/>
      <c r="J23" s="80"/>
      <c r="K23" s="80"/>
      <c r="L23" s="75"/>
      <c r="M23" s="78"/>
      <c r="N23" s="71"/>
    </row>
    <row r="24" spans="1:14" ht="13" x14ac:dyDescent="0.25">
      <c r="A24" s="70">
        <v>21</v>
      </c>
      <c r="B24" s="74"/>
      <c r="C24" s="74"/>
      <c r="D24" s="74"/>
      <c r="E24" s="74"/>
      <c r="F24" s="78"/>
      <c r="G24" s="76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22</v>
      </c>
      <c r="B25" s="74"/>
      <c r="C25" s="74"/>
      <c r="D25" s="74"/>
      <c r="E25" s="74"/>
      <c r="F25" s="78"/>
      <c r="G25" s="76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PL1694NL-42-048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PL1694NL-42</v>
      </c>
      <c r="C76" s="61" t="str">
        <f>INDEX($A$20:$I$63,$A76,3)</f>
        <v>048</v>
      </c>
      <c r="D76" s="17"/>
      <c r="E76" s="60">
        <f>INDEX($A$20:$I$63,$A76,9)</f>
        <v>264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199721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PL1694NL-42/Multi Pattern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3pc bronze drops mist and body brush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2026-05-28T14:14:21Z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