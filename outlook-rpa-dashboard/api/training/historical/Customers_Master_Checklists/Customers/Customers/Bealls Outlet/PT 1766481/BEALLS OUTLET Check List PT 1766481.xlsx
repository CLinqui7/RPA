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92" documentId="8_{0EBB2938-9D16-473B-B306-699D55C5D276}" xr6:coauthVersionLast="47" xr6:coauthVersionMax="47" xr10:uidLastSave="{4892D6C3-BB2A-488A-BFD7-DECC07DB62D3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<sst xmlns="http://schemas.openxmlformats.org/spreadsheetml/2006/main" count="66" uniqueCount="55">
  <si>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</si>
  <si>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</si>
  <si>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</si>
  <si>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</si>
  <si>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</si>
  <si>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</si>
  <si>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</si>
  <si>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</si>
  <si>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</si>
  <si>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</si>
  <si>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</si>
  <si>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</si>
  <si>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</si>
  <si>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</si>
  <si>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</si>
  <si>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</si>
  <si>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</si>
  <si>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</si>
  <si>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</si>
  <si>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</si>
  <si>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</si>
  <si>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</si>
  <si>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</si>
  <si>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</si>
  <si>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</si>
  <si>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</si>
  <si>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</si>
  <si>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</si>
  <si>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</si>
  <si>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</si>
  <si>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</si>
  <si>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</si>
  <si>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</si>
  <si>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</si>
  <si>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</si>
  <si>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</si>
  <si>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</si>
  <si>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</si>
  <si>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</si>
  <si>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</si>
  <si>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</si>
  <si>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</si>
  <si>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</si>
  <si>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</si>
  <si>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</si>
  <si>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</si>
  <si>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PL0823AB</t>
  </si>
  <si>
    <t>PL0958NL</t>
  </si>
  <si>
    <t>294</t>
  </si>
  <si>
    <t>006</t>
  </si>
  <si>
    <t>No Color</t>
  </si>
  <si>
    <t>Brown</t>
  </si>
  <si>
    <t>4PC. EXFOLIATING GLOVES</t>
  </si>
  <si>
    <t>4pc nude brwn loofahs</t>
  </si>
  <si>
    <t>1930890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</si>
</sst>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name val="Aptos"/>
      <family val="2"/>
    </font>
    <font>
      <sz val="14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3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0" zoomScale="91" zoomScaleNormal="91" workbookViewId="0">
      <selection activeCell="F23" sqref="F23"/>
    </sheetView>
  </sheetViews>
  <sheetFormatPr defaultRowHeight="12.75" x14ac:dyDescent="0.2"/>
  <cols>
    <col min="1" max="1" width="15.85546875" customWidth="1"/>
    <col min="2" max="2" width="22.85546875" customWidth="1"/>
    <col min="3" max="3" width="16" style="33" customWidth="1"/>
    <col min="4" max="4" width="21" customWidth="1"/>
    <col min="5" max="5" width="32.5703125" customWidth="1"/>
    <col min="6" max="6" width="18.85546875" customWidth="1"/>
    <col min="7" max="7" width="67.42578125" customWidth="1"/>
    <col min="8" max="8" width="22.5703125" bestFit="1" customWidth="1"/>
    <col min="9" max="12" width="17.7109375" customWidth="1"/>
    <col min="13" max="13" width="23.5703125" bestFit="1" customWidth="1"/>
    <col min="14" max="14" width="25.5703125" customWidth="1"/>
    <col min="15" max="15" width="16.85546875" customWidth="1"/>
    <col min="17" max="17" width="16.85546875" bestFit="1" customWidth="1"/>
    <col min="18" max="18" width="21.7109375" customWidth="1"/>
  </cols>
  <sheetData>
    <row r="1" spans="1:17" ht="13.5" thickBot="1" x14ac:dyDescent="0.25"/>
    <row r="2" spans="1:17" ht="24" thickBot="1" x14ac:dyDescent="0.4">
      <c r="E2" s="87" t="s">
        <v>32</v>
      </c>
      <c r="F2" s="88"/>
      <c r="G2" s="89"/>
    </row>
    <row r="4" spans="1:17" ht="18" x14ac:dyDescent="0.25">
      <c r="A4" s="1" t="s">
        <v>0</v>
      </c>
      <c r="D4" s="64" t="s">
        <v>37</v>
      </c>
    </row>
    <row r="5" spans="1:17" ht="15.75" x14ac:dyDescent="0.25">
      <c r="D5" s="64" t="s">
        <v>38</v>
      </c>
    </row>
    <row r="7" spans="1:17" ht="20.25" x14ac:dyDescent="0.3">
      <c r="A7" s="65" t="s">
        <v>1</v>
      </c>
      <c r="C7" s="90" t="s">
        <v>33</v>
      </c>
      <c r="D7" s="91"/>
      <c r="E7" s="66" t="s">
        <v>42</v>
      </c>
      <c r="F7" s="72" t="s">
        <v>39</v>
      </c>
      <c r="G7" s="72"/>
      <c r="H7" s="72"/>
      <c r="I7" s="65"/>
    </row>
    <row r="8" spans="1:17" ht="15" x14ac:dyDescent="0.25">
      <c r="D8" s="2"/>
      <c r="E8" s="2"/>
      <c r="F8" s="2"/>
    </row>
    <row r="9" spans="1:17" ht="15" x14ac:dyDescent="0.25">
      <c r="D9" s="2"/>
      <c r="E9" s="2"/>
      <c r="F9" s="2"/>
    </row>
    <row r="10" spans="1:17" ht="20.25" x14ac:dyDescent="0.3">
      <c r="A10" t="s">
        <v>2</v>
      </c>
      <c r="C10" s="34" t="s">
        <v>5</v>
      </c>
      <c r="D10" s="2" t="s">
        <v>2</v>
      </c>
    </row>
    <row r="12" spans="1:17" ht="18" x14ac:dyDescent="0.25">
      <c r="C12" s="35"/>
    </row>
    <row r="13" spans="1:17" ht="13.5" thickBot="1" x14ac:dyDescent="0.25"/>
    <row r="14" spans="1:17" ht="14.25" hidden="1" customHeight="1" x14ac:dyDescent="0.2"/>
    <row r="15" spans="1:17" ht="33" hidden="1" customHeight="1" x14ac:dyDescent="0.4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4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4">
      <c r="A17" s="5"/>
      <c r="B17" s="4"/>
      <c r="C17" s="47" t="s">
        <v>23</v>
      </c>
      <c r="D17" s="48"/>
      <c r="E17" s="48"/>
      <c r="F17" s="3"/>
    </row>
    <row r="18" spans="1:14" ht="33.75" x14ac:dyDescent="0.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x14ac:dyDescent="0.2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75" x14ac:dyDescent="0.3">
      <c r="A20" s="70">
        <v>1</v>
      </c>
      <c r="B20" s="92" t="s">
        <v>46</v>
      </c>
      <c r="C20" s="92" t="s">
        <v>48</v>
      </c>
      <c r="D20" s="92" t="str">
        <f t="shared" ref="D20:D21" si="0">B20&amp;"-"&amp;C20</f>
        <v>PL0823AB-294</v>
      </c>
      <c r="E20" s="93" t="s">
        <v>46</v>
      </c>
      <c r="F20" s="93" t="s">
        <v>50</v>
      </c>
      <c r="G20" s="93" t="s">
        <v>52</v>
      </c>
      <c r="H20" s="95">
        <v>97705794</v>
      </c>
      <c r="I20" s="92">
        <v>648</v>
      </c>
      <c r="J20" s="94">
        <v>1766481</v>
      </c>
      <c r="K20" s="94" t="s">
        <v>54</v>
      </c>
      <c r="L20" s="75"/>
      <c r="M20" s="77"/>
      <c r="N20" s="71"/>
    </row>
    <row r="21" spans="1:14" ht="18.75" x14ac:dyDescent="0.3">
      <c r="A21" s="70">
        <v>2</v>
      </c>
      <c r="B21" s="92" t="s">
        <v>47</v>
      </c>
      <c r="C21" s="92" t="s">
        <v>49</v>
      </c>
      <c r="D21" s="92" t="str">
        <f t="shared" si="0"/>
        <v>PL0958NL-006</v>
      </c>
      <c r="E21" s="93" t="s">
        <v>47</v>
      </c>
      <c r="F21" s="93" t="s">
        <v>51</v>
      </c>
      <c r="G21" s="93" t="s">
        <v>53</v>
      </c>
      <c r="H21" s="95">
        <v>212781</v>
      </c>
      <c r="I21" s="92">
        <v>900</v>
      </c>
      <c r="J21" s="94">
        <v>1766481</v>
      </c>
      <c r="K21" s="94" t="s">
        <v>54</v>
      </c>
      <c r="L21" s="75"/>
      <c r="M21" s="77"/>
      <c r="N21" s="71"/>
    </row>
    <row r="22" spans="1:14" ht="18" x14ac:dyDescent="0.25">
      <c r="A22" s="70">
        <v>19</v>
      </c>
      <c r="B22" s="79"/>
      <c r="C22" s="79"/>
      <c r="D22" s="79"/>
      <c r="E22" s="86"/>
      <c r="F22" s="86"/>
      <c r="G22" s="86"/>
      <c r="H22" s="86"/>
      <c r="I22" s="79"/>
      <c r="J22" s="79"/>
      <c r="K22" s="79"/>
      <c r="L22" s="75"/>
      <c r="M22" s="77"/>
      <c r="N22" s="71"/>
    </row>
    <row r="23" spans="1:14" ht="18" x14ac:dyDescent="0.25">
      <c r="A23" s="70">
        <v>20</v>
      </c>
      <c r="B23" s="79"/>
      <c r="C23" s="79"/>
      <c r="D23" s="79"/>
      <c r="E23" s="86"/>
      <c r="F23" s="86"/>
      <c r="G23" s="86"/>
      <c r="H23" s="86"/>
      <c r="I23" s="79"/>
      <c r="J23" s="79"/>
      <c r="K23" s="79"/>
      <c r="L23" s="75"/>
      <c r="M23" s="77"/>
      <c r="N23" s="71"/>
    </row>
    <row r="24" spans="1:14" ht="18" x14ac:dyDescent="0.25">
      <c r="A24" s="70">
        <v>21</v>
      </c>
      <c r="B24" s="79"/>
      <c r="C24" s="79"/>
      <c r="D24" s="79"/>
      <c r="E24" s="86"/>
      <c r="F24" s="86"/>
      <c r="G24" s="86"/>
      <c r="H24" s="86"/>
      <c r="I24" s="79"/>
      <c r="J24" s="79"/>
      <c r="K24" s="79"/>
      <c r="L24" s="75"/>
      <c r="M24" s="77"/>
      <c r="N24" s="71"/>
    </row>
    <row r="25" spans="1:14" ht="18" x14ac:dyDescent="0.25">
      <c r="A25" s="70">
        <v>22</v>
      </c>
      <c r="B25" s="79"/>
      <c r="C25" s="79"/>
      <c r="D25" s="79"/>
      <c r="E25" s="86"/>
      <c r="F25" s="86"/>
      <c r="G25" s="86"/>
      <c r="H25" s="86"/>
      <c r="I25" s="79"/>
      <c r="J25" s="79"/>
      <c r="K25" s="79"/>
      <c r="L25" s="75"/>
      <c r="M25" s="77"/>
      <c r="N25" s="71"/>
    </row>
    <row r="26" spans="1:14" ht="18" x14ac:dyDescent="0.25">
      <c r="A26" s="70">
        <v>23</v>
      </c>
      <c r="B26" s="79"/>
      <c r="C26" s="79"/>
      <c r="D26" s="79"/>
      <c r="E26" s="86"/>
      <c r="F26" s="86"/>
      <c r="G26" s="86"/>
      <c r="H26" s="86"/>
      <c r="I26" s="79"/>
      <c r="J26" s="79"/>
      <c r="K26" s="79"/>
      <c r="L26" s="75"/>
      <c r="M26" s="77"/>
      <c r="N26" s="71"/>
    </row>
    <row r="27" spans="1:14" ht="18" x14ac:dyDescent="0.25">
      <c r="A27" s="70">
        <v>24</v>
      </c>
      <c r="B27" s="79"/>
      <c r="C27" s="79"/>
      <c r="D27" s="79"/>
      <c r="E27" s="86"/>
      <c r="F27" s="86"/>
      <c r="G27" s="86"/>
      <c r="H27" s="86"/>
      <c r="I27" s="79"/>
      <c r="J27" s="79"/>
      <c r="K27" s="79"/>
      <c r="L27" s="75"/>
      <c r="M27" s="77"/>
      <c r="N27" s="71"/>
    </row>
    <row r="28" spans="1:14" ht="18" x14ac:dyDescent="0.2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8" x14ac:dyDescent="0.2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8" x14ac:dyDescent="0.2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8" x14ac:dyDescent="0.2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8" x14ac:dyDescent="0.25">
      <c r="A32" s="70">
        <v>29</v>
      </c>
      <c r="B32" s="79"/>
      <c r="C32" s="79"/>
      <c r="D32" s="79"/>
      <c r="E32" s="79"/>
      <c r="F32" s="79"/>
      <c r="G32" s="80"/>
      <c r="H32" s="79"/>
      <c r="I32" s="79"/>
      <c r="J32" s="79"/>
      <c r="K32" s="79"/>
      <c r="L32" s="75"/>
      <c r="M32" s="77"/>
      <c r="N32" s="71"/>
    </row>
    <row r="33" spans="1:14" ht="18" x14ac:dyDescent="0.25">
      <c r="A33" s="70">
        <v>30</v>
      </c>
      <c r="B33" s="79"/>
      <c r="C33" s="79"/>
      <c r="D33" s="79"/>
      <c r="E33" s="79"/>
      <c r="F33" s="79"/>
      <c r="G33" s="80"/>
      <c r="H33" s="79"/>
      <c r="I33" s="79"/>
      <c r="J33" s="79"/>
      <c r="K33" s="79"/>
      <c r="L33" s="75"/>
      <c r="M33" s="77"/>
      <c r="N33" s="71"/>
    </row>
    <row r="34" spans="1:14" s="85" customFormat="1" ht="18" x14ac:dyDescent="0.25">
      <c r="A34" s="81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2"/>
      <c r="M34" s="83"/>
      <c r="N34" s="84"/>
    </row>
    <row r="35" spans="1:14" ht="18" x14ac:dyDescent="0.2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8" x14ac:dyDescent="0.2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8" x14ac:dyDescent="0.2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8" x14ac:dyDescent="0.2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8" x14ac:dyDescent="0.2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8" x14ac:dyDescent="0.2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8" x14ac:dyDescent="0.2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8" x14ac:dyDescent="0.2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8" x14ac:dyDescent="0.2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8" x14ac:dyDescent="0.2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8" x14ac:dyDescent="0.2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8" x14ac:dyDescent="0.2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8" x14ac:dyDescent="0.2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x14ac:dyDescent="0.2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x14ac:dyDescent="0.2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x14ac:dyDescent="0.2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x14ac:dyDescent="0.2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x14ac:dyDescent="0.2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x14ac:dyDescent="0.2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x14ac:dyDescent="0.2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x14ac:dyDescent="0.2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x14ac:dyDescent="0.2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x14ac:dyDescent="0.2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x14ac:dyDescent="0.2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x14ac:dyDescent="0.2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x14ac:dyDescent="0.2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x14ac:dyDescent="0.2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x14ac:dyDescent="0.2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x14ac:dyDescent="0.2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">
      <c r="B64" s="3"/>
      <c r="C64" s="37"/>
    </row>
    <row r="65" spans="1:7" ht="20.25" x14ac:dyDescent="0.3">
      <c r="A65" s="7" t="s">
        <v>4</v>
      </c>
      <c r="B65" s="3"/>
      <c r="C65" s="37"/>
    </row>
    <row r="66" spans="1:7" ht="15.75" x14ac:dyDescent="0.25">
      <c r="A66" s="6"/>
      <c r="B66" s="4"/>
      <c r="C66" s="38"/>
    </row>
    <row r="67" spans="1:7" ht="23.25" x14ac:dyDescent="0.35">
      <c r="A67" s="5" t="str">
        <f>D4</f>
        <v>PT# SEE BELOW</v>
      </c>
    </row>
    <row r="68" spans="1:7" x14ac:dyDescent="0.2">
      <c r="D68" s="3"/>
      <c r="F68" s="3"/>
      <c r="G68" s="3"/>
    </row>
    <row r="69" spans="1:7" ht="23.25" x14ac:dyDescent="0.35">
      <c r="B69" s="47"/>
      <c r="C69" s="37"/>
      <c r="E69" s="3"/>
    </row>
    <row r="70" spans="1:7" ht="23.25" x14ac:dyDescent="0.35">
      <c r="A70" s="47" t="s">
        <v>24</v>
      </c>
    </row>
    <row r="72" spans="1:7" ht="13.5" thickBot="1" x14ac:dyDescent="0.25"/>
    <row r="73" spans="1:7" ht="13.5" thickBot="1" x14ac:dyDescent="0.25">
      <c r="D73" s="42"/>
    </row>
    <row r="74" spans="1:7" ht="13.5" thickBot="1" x14ac:dyDescent="0.25">
      <c r="B74" s="42"/>
      <c r="C74" s="58"/>
      <c r="D74" s="59" t="s">
        <v>9</v>
      </c>
      <c r="E74" s="22"/>
    </row>
    <row r="75" spans="1:7" x14ac:dyDescent="0.2">
      <c r="A75" s="42"/>
      <c r="B75" s="59" t="s">
        <v>6</v>
      </c>
      <c r="C75" s="59" t="s">
        <v>7</v>
      </c>
      <c r="D75" s="62" t="str">
        <f>INDEX($A$20:$I$63,$A76,4)</f>
        <v>PL0823AB-294</v>
      </c>
      <c r="E75" s="57" t="s">
        <v>8</v>
      </c>
    </row>
    <row r="76" spans="1:7" ht="15.75" thickBot="1" x14ac:dyDescent="0.25">
      <c r="A76" s="49">
        <v>1</v>
      </c>
      <c r="B76" s="60" t="str">
        <f>INDEX($A$20:$I$63,$A76,2)</f>
        <v>PL0823AB</v>
      </c>
      <c r="C76" s="61" t="str">
        <f>INDEX($A$20:$I$63,$A76,3)</f>
        <v>294</v>
      </c>
      <c r="D76" s="17"/>
      <c r="E76" s="60">
        <f>INDEX($A$20:$I$63,$A76,9)</f>
        <v>648</v>
      </c>
    </row>
    <row r="77" spans="1:7" ht="15.75" x14ac:dyDescent="0.25">
      <c r="A77" s="18"/>
      <c r="B77" s="16"/>
      <c r="C77" s="39"/>
      <c r="D77" s="24"/>
      <c r="E77" s="20"/>
    </row>
    <row r="78" spans="1:7" ht="15.75" x14ac:dyDescent="0.25">
      <c r="A78" s="19"/>
      <c r="B78" s="23" t="s">
        <v>25</v>
      </c>
      <c r="C78" s="29"/>
      <c r="D78" s="24"/>
      <c r="E78" s="9"/>
    </row>
    <row r="79" spans="1:7" ht="15.75" x14ac:dyDescent="0.25">
      <c r="A79" s="19"/>
      <c r="B79" s="23" t="s">
        <v>26</v>
      </c>
      <c r="C79" s="29"/>
      <c r="D79" s="25"/>
      <c r="E79" s="9"/>
    </row>
    <row r="80" spans="1:7" ht="15.75" x14ac:dyDescent="0.25">
      <c r="A80" s="19"/>
      <c r="B80" s="23" t="s">
        <v>27</v>
      </c>
      <c r="C80" s="29"/>
      <c r="D80" s="26"/>
      <c r="E80" s="9"/>
    </row>
    <row r="81" spans="1:5" ht="15.75" x14ac:dyDescent="0.25">
      <c r="A81" s="19"/>
      <c r="B81" s="23" t="s">
        <v>28</v>
      </c>
      <c r="C81" s="29"/>
      <c r="D81" s="28"/>
      <c r="E81" s="9"/>
    </row>
    <row r="82" spans="1:5" ht="15.75" x14ac:dyDescent="0.25">
      <c r="A82" s="19"/>
      <c r="B82" s="27" t="str">
        <f>$D$5</f>
        <v>PO#: SEE BELOW</v>
      </c>
      <c r="C82" s="40"/>
      <c r="D82" s="28"/>
      <c r="E82" s="9"/>
    </row>
    <row r="83" spans="1:5" ht="15.75" x14ac:dyDescent="0.25">
      <c r="A83" s="19"/>
      <c r="B83" s="44" t="str">
        <f>"SKU#: "&amp;INDEX($A$20:$I$63,A76,8)</f>
        <v>SKU#: 97705794</v>
      </c>
      <c r="D83" s="28"/>
      <c r="E83" s="9"/>
    </row>
    <row r="84" spans="1:5" ht="15.75" x14ac:dyDescent="0.25">
      <c r="A84" s="19"/>
      <c r="B84" s="46" t="e">
        <f>"DEPT#: "&amp;TEXT(#REF!,"000")</f>
        <v>#REF!</v>
      </c>
      <c r="C84" s="40"/>
      <c r="D84" s="28"/>
      <c r="E84" s="9"/>
    </row>
    <row r="85" spans="1:5" ht="15.75" x14ac:dyDescent="0.25">
      <c r="A85" s="19"/>
      <c r="B85" s="27" t="s">
        <v>11</v>
      </c>
      <c r="C85" s="29" t="str">
        <f>INDEX($A$20:$I$63,A76,5)&amp;"/"&amp;INDEX($A$20:$I$63,A76,6)</f>
        <v>PL0823AB/No Color</v>
      </c>
      <c r="D85" s="28"/>
      <c r="E85" s="9"/>
    </row>
    <row r="86" spans="1:5" ht="15.75" x14ac:dyDescent="0.25">
      <c r="A86" s="19"/>
      <c r="B86" s="27" t="s">
        <v>12</v>
      </c>
      <c r="C86" s="29" t="str">
        <f>INDEX($A$20:$H21,A76,7)</f>
        <v>4PC. EXFOLIATING GLOVES</v>
      </c>
      <c r="D86" s="28"/>
      <c r="E86" s="9"/>
    </row>
    <row r="87" spans="1:5" ht="15.75" x14ac:dyDescent="0.25">
      <c r="A87" s="19"/>
      <c r="B87" s="27" t="s">
        <v>19</v>
      </c>
      <c r="C87" s="29"/>
      <c r="D87" s="28"/>
      <c r="E87" s="9"/>
    </row>
    <row r="88" spans="1:5" ht="16.5" thickBot="1" x14ac:dyDescent="0.3">
      <c r="A88" s="19"/>
      <c r="B88" s="27" t="s">
        <v>13</v>
      </c>
      <c r="C88" s="29"/>
      <c r="D88" s="11"/>
      <c r="E88" s="9"/>
    </row>
    <row r="89" spans="1:5" ht="13.5" thickBot="1" x14ac:dyDescent="0.25">
      <c r="A89" s="19"/>
      <c r="B89" s="10"/>
      <c r="C89" s="41"/>
      <c r="E89" s="12"/>
    </row>
    <row r="90" spans="1:5" ht="13.5" thickBot="1" x14ac:dyDescent="0.25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75" x14ac:dyDescent="0.2"/>
  <cols>
    <col min="1" max="1" width="22.28515625" customWidth="1"/>
    <col min="2" max="2" width="19.140625" customWidth="1"/>
    <col min="3" max="3" width="18.28515625" style="55" customWidth="1"/>
    <col min="4" max="4" width="29.140625" style="55" customWidth="1"/>
  </cols>
  <sheetData>
    <row r="1" spans="1:6" x14ac:dyDescent="0.2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">
      <c r="A8" s="50"/>
      <c r="B8" s="52"/>
      <c r="C8" s="54"/>
      <c r="D8" s="56"/>
    </row>
    <row r="9" spans="1:6" x14ac:dyDescent="0.2">
      <c r="A9" s="50"/>
      <c r="B9" s="52"/>
      <c r="C9" s="54"/>
      <c r="D9" s="56"/>
    </row>
    <row r="10" spans="1:6" x14ac:dyDescent="0.2">
      <c r="A10" s="50"/>
      <c r="B10" s="52"/>
      <c r="C10" s="54"/>
      <c r="D10" s="56"/>
    </row>
    <row r="11" spans="1:6" x14ac:dyDescent="0.2">
      <c r="A11" s="50"/>
      <c r="B11" s="52"/>
      <c r="C11" s="54"/>
      <c r="D11" s="56"/>
    </row>
    <row r="12" spans="1:6" x14ac:dyDescent="0.2">
      <c r="A12" s="50"/>
      <c r="B12" s="52"/>
      <c r="D12" s="56"/>
    </row>
    <row r="13" spans="1:6" x14ac:dyDescent="0.2">
      <c r="A13" s="50"/>
      <c r="B13" s="52"/>
      <c r="C13" s="54"/>
      <c r="D13" s="56"/>
    </row>
    <row r="14" spans="1:6" x14ac:dyDescent="0.2">
      <c r="A14" s="50"/>
      <c r="B14" s="52"/>
      <c r="C14" s="54"/>
      <c r="D14" s="56"/>
    </row>
    <row r="15" spans="1:6" x14ac:dyDescent="0.2">
      <c r="A15" s="50"/>
      <c r="B15" s="52"/>
      <c r="C15" s="54"/>
      <c r="D15" s="56"/>
    </row>
    <row r="16" spans="1:6" x14ac:dyDescent="0.2">
      <c r="A16" s="50"/>
      <c r="B16" s="52"/>
      <c r="C16" s="54"/>
      <c r="D16" s="52"/>
    </row>
    <row r="17" spans="1:4" x14ac:dyDescent="0.2">
      <c r="A17" s="50"/>
      <c r="B17" s="52"/>
      <c r="C17" s="54"/>
      <c r="D17" s="52"/>
    </row>
    <row r="20" spans="1:4" x14ac:dyDescent="0.2">
      <c r="B20" s="53"/>
    </row>
    <row r="21" spans="1:4" x14ac:dyDescent="0.2">
      <c r="B21" s="53"/>
    </row>
    <row r="22" spans="1:4" x14ac:dyDescent="0.2">
      <c r="B22" s="53"/>
    </row>
    <row r="23" spans="1:4" x14ac:dyDescent="0.2">
      <c r="B23" s="53"/>
    </row>
    <row r="24" spans="1:4" x14ac:dyDescent="0.2">
      <c r="B24" s="53"/>
    </row>
    <row r="25" spans="1:4" x14ac:dyDescent="0.2">
      <c r="B25" s="53"/>
    </row>
    <row r="26" spans="1:4" x14ac:dyDescent="0.2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2026-06-23T13:53:20Z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