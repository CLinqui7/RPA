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Shoe Sensation/PT/"/>
    </mc:Choice>
  </mc:AlternateContent>
  <xr:revisionPtr revIDLastSave="32" documentId="13_ncr:1_{ABD2ECD3-CBFA-4CAC-ABA3-9D278AF97B81}" xr6:coauthVersionLast="47" xr6:coauthVersionMax="47" xr10:uidLastSave="{B04752B4-3343-4479-AB24-C7AFEEF00970}"/>
  <bookViews>
    <workbookView xWindow="28680" yWindow="-120" windowWidth="29040" windowHeight="15720" xr2:uid="{00000000-000D-0000-FFFF-FFFF00000000}"/>
  </bookViews>
  <sheets>
    <sheet name="CHECK LIS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6" i="1"/>
  <c r="C27" i="1"/>
  <c r="C23" i="1"/>
  <c r="C24" i="1"/>
  <c r="E38" i="1"/>
</calcChain>
</file>

<file path=xl/sharedStrings.xml><?xml version="1.0" encoding="utf-8"?>
<sst xmlns="http://schemas.openxmlformats.org/spreadsheetml/2006/main" count="44" uniqueCount="42">
  <si>
    <t>PICK TICKET CHECK LIST</t>
  </si>
  <si>
    <t xml:space="preserve">PACKING INSTRUCTIONS:   </t>
  </si>
  <si>
    <t>PICK_QTY</t>
  </si>
  <si>
    <t>ROUTING:</t>
  </si>
  <si>
    <t>NO TICKETING NEEDED</t>
  </si>
  <si>
    <t>TOTAL</t>
  </si>
  <si>
    <t>TICKETING:</t>
  </si>
  <si>
    <t xml:space="preserve">AE STYLE </t>
  </si>
  <si>
    <t xml:space="preserve">AE COLOR </t>
  </si>
  <si>
    <t>SHOE SENSATION</t>
  </si>
  <si>
    <t>CUSTOMER STYLE</t>
  </si>
  <si>
    <t>transportation@shoesensation.com.</t>
  </si>
  <si>
    <t>Vendors cannot mix POs, styles, or colors</t>
  </si>
  <si>
    <t>CARTON LABELS:</t>
  </si>
  <si>
    <t>Vendor name (required)</t>
  </si>
  <si>
    <t>Company name (required)</t>
  </si>
  <si>
    <t>Carton sequence __ of __ (required)</t>
  </si>
  <si>
    <t>Gross weight of carton (optional)</t>
  </si>
  <si>
    <t>Net Weight of Carton (optional)</t>
  </si>
  <si>
    <t>Carton Dimensions</t>
  </si>
  <si>
    <t>MUST CUT STRAPS</t>
  </si>
  <si>
    <t>per routing guide pallets need to be floor load, but check with David because he advises if floor load or pallet load</t>
  </si>
  <si>
    <t>IF WE MUST REBOX SHOES AT THE WH, WE HAVE TO REMOVE THE SHOES FROM THE PLASTIC BAG AND STICKER THE BOX WITH A SAME STICKER</t>
  </si>
  <si>
    <t>shoes must be boxed</t>
  </si>
  <si>
    <t>cut PO:</t>
  </si>
  <si>
    <t>Size</t>
  </si>
  <si>
    <t>58565 and 58566</t>
  </si>
  <si>
    <t>72NESSELK</t>
  </si>
  <si>
    <t>034</t>
  </si>
  <si>
    <t>72PAISYK</t>
  </si>
  <si>
    <t>YLA</t>
  </si>
  <si>
    <t>079</t>
  </si>
  <si>
    <t>72LERCEYK</t>
  </si>
  <si>
    <t>WHA</t>
  </si>
  <si>
    <t>001</t>
  </si>
  <si>
    <t>PT# 1757943 -1757947</t>
  </si>
  <si>
    <t>199473</t>
  </si>
  <si>
    <t>199475</t>
  </si>
  <si>
    <t>199476</t>
  </si>
  <si>
    <t>199478</t>
  </si>
  <si>
    <t>199479</t>
  </si>
  <si>
    <t>PO#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</si>
</sst>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4"/>
      <color theme="3"/>
      <name val="Arial"/>
      <family val="2"/>
    </font>
    <font>
      <b/>
      <u/>
      <sz val="22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0"/>
      <color rgb="FF0070C0"/>
      <name val="Arial"/>
      <family val="2"/>
    </font>
    <font>
      <sz val="18"/>
      <name val="Arial"/>
      <family val="2"/>
    </font>
    <font>
      <sz val="16"/>
      <color rgb="FFFF000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4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6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44" fontId="21" fillId="0" borderId="0" applyFont="0" applyFill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7" fillId="0" borderId="0" xfId="0" applyFont="1"/>
    <xf numFmtId="0" fontId="14" fillId="0" borderId="0" xfId="0" applyFont="1" applyAlignment="1">
      <alignment vertical="center" wrapText="1"/>
    </xf>
    <xf numFmtId="0" fontId="13" fillId="0" borderId="0" xfId="0" applyFont="1"/>
    <xf numFmtId="0" fontId="18" fillId="0" borderId="0" xfId="0" applyFont="1"/>
    <xf numFmtId="0" fontId="19" fillId="0" borderId="0" xfId="1" applyFont="1" applyBorder="1" applyAlignment="1" applyProtection="1"/>
    <xf numFmtId="0" fontId="21" fillId="0" borderId="0" xfId="0" applyFont="1"/>
    <xf numFmtId="0" fontId="16" fillId="0" borderId="1" xfId="7" applyBorder="1" applyAlignment="1">
      <alignment horizontal="center"/>
    </xf>
    <xf numFmtId="0" fontId="16" fillId="0" borderId="1" xfId="90" applyBorder="1" applyAlignment="1">
      <alignment horizontal="center"/>
    </xf>
    <xf numFmtId="0" fontId="23" fillId="0" borderId="0" xfId="0" applyFont="1"/>
    <xf numFmtId="0" fontId="8" fillId="0" borderId="0" xfId="0" applyFont="1"/>
    <xf numFmtId="0" fontId="10" fillId="3" borderId="0" xfId="0" applyFont="1" applyFill="1"/>
    <xf numFmtId="0" fontId="16" fillId="0" borderId="2" xfId="7" applyBorder="1" applyAlignment="1">
      <alignment horizontal="center"/>
    </xf>
    <xf numFmtId="0" fontId="16" fillId="0" borderId="2" xfId="90" applyBorder="1" applyAlignment="1">
      <alignment horizontal="center"/>
    </xf>
    <xf numFmtId="0" fontId="12" fillId="0" borderId="4" xfId="7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24" fillId="0" borderId="0" xfId="0" applyFont="1"/>
    <xf numFmtId="0" fontId="0" fillId="0" borderId="0" xfId="0" applyAlignment="1">
      <alignment wrapText="1"/>
    </xf>
    <xf numFmtId="0" fontId="0" fillId="5" borderId="0" xfId="0" applyFill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7" applyAlignment="1">
      <alignment horizontal="center"/>
    </xf>
    <xf numFmtId="0" fontId="10" fillId="2" borderId="0" xfId="0" applyFont="1" applyFill="1" applyAlignment="1">
      <alignment horizontal="center"/>
    </xf>
    <xf numFmtId="0" fontId="22" fillId="2" borderId="0" xfId="0" applyFont="1" applyFill="1" applyAlignment="1">
      <alignment horizontal="left" vertical="top"/>
    </xf>
    <xf numFmtId="0" fontId="21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49" fontId="16" fillId="0" borderId="1" xfId="90" applyNumberFormat="1" applyBorder="1" applyAlignment="1">
      <alignment horizontal="center"/>
    </xf>
    <xf numFmtId="49" fontId="12" fillId="0" borderId="3" xfId="7" applyNumberFormat="1" applyFont="1" applyBorder="1" applyAlignment="1">
      <alignment horizontal="center"/>
    </xf>
    <xf numFmtId="0" fontId="27" fillId="0" borderId="1" xfId="7" applyFont="1" applyBorder="1" applyAlignment="1">
      <alignment horizontal="center" vertical="center"/>
    </xf>
    <xf numFmtId="0" fontId="16" fillId="0" borderId="1" xfId="90" applyBorder="1" applyAlignment="1">
      <alignment horizontal="center" vertical="center"/>
    </xf>
    <xf numFmtId="0" fontId="16" fillId="0" borderId="1" xfId="7" applyBorder="1" applyAlignment="1">
      <alignment horizontal="center" vertical="center"/>
    </xf>
    <xf numFmtId="0" fontId="17" fillId="0" borderId="0" xfId="7" applyFont="1" applyAlignment="1">
      <alignment horizontal="center"/>
    </xf>
    <xf numFmtId="0" fontId="0" fillId="2" borderId="0" xfId="0" applyFill="1"/>
    <xf numFmtId="0" fontId="0" fillId="0" borderId="1" xfId="0" applyBorder="1"/>
    <xf numFmtId="0" fontId="23" fillId="0" borderId="1" xfId="0" applyFont="1" applyBorder="1"/>
    <xf numFmtId="0" fontId="17" fillId="0" borderId="6" xfId="7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 wrapText="1"/>
    </xf>
    <xf numFmtId="0" fontId="1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2" borderId="1" xfId="0" applyFont="1" applyFill="1" applyBorder="1" applyAlignment="1">
      <alignment horizontal="right"/>
    </xf>
  </cellXfs>
  <cellStyles count="343">
    <cellStyle name="Currency 2" xfId="51" xr:uid="{00000000-0005-0000-0000-000000000000}"/>
    <cellStyle name="Hyperlink" xfId="1" builtinId="8"/>
    <cellStyle name="Normal" xfId="0" builtinId="0"/>
    <cellStyle name="Normal 10" xfId="25" xr:uid="{00000000-0005-0000-0000-000003000000}"/>
    <cellStyle name="Normal 10 2" xfId="45" xr:uid="{00000000-0005-0000-0000-000004000000}"/>
    <cellStyle name="Normal 10 2 2" xfId="78" xr:uid="{00000000-0005-0000-0000-000005000000}"/>
    <cellStyle name="Normal 10 2 2 2" xfId="303" xr:uid="{00000000-0005-0000-0000-000006000000}"/>
    <cellStyle name="Normal 10 2 2 3" xfId="206" xr:uid="{00000000-0005-0000-0000-000007000000}"/>
    <cellStyle name="Normal 10 2 3" xfId="117" xr:uid="{00000000-0005-0000-0000-000008000000}"/>
    <cellStyle name="Normal 10 2 3 2" xfId="339" xr:uid="{00000000-0005-0000-0000-000009000000}"/>
    <cellStyle name="Normal 10 2 3 3" xfId="244" xr:uid="{00000000-0005-0000-0000-00000A000000}"/>
    <cellStyle name="Normal 10 2 4" xfId="176" xr:uid="{00000000-0005-0000-0000-00000B000000}"/>
    <cellStyle name="Normal 10 2 5" xfId="273" xr:uid="{00000000-0005-0000-0000-00000C000000}"/>
    <cellStyle name="Normal 10 2 6" xfId="147" xr:uid="{00000000-0005-0000-0000-00000D000000}"/>
    <cellStyle name="Normal 10 3" xfId="62" xr:uid="{00000000-0005-0000-0000-00000E000000}"/>
    <cellStyle name="Normal 10 3 2" xfId="287" xr:uid="{00000000-0005-0000-0000-00000F000000}"/>
    <cellStyle name="Normal 10 3 3" xfId="190" xr:uid="{00000000-0005-0000-0000-000010000000}"/>
    <cellStyle name="Normal 10 4" xfId="101" xr:uid="{00000000-0005-0000-0000-000011000000}"/>
    <cellStyle name="Normal 10 4 2" xfId="323" xr:uid="{00000000-0005-0000-0000-000012000000}"/>
    <cellStyle name="Normal 10 4 3" xfId="228" xr:uid="{00000000-0005-0000-0000-000013000000}"/>
    <cellStyle name="Normal 10 5" xfId="160" xr:uid="{00000000-0005-0000-0000-000014000000}"/>
    <cellStyle name="Normal 10 6" xfId="257" xr:uid="{00000000-0005-0000-0000-000015000000}"/>
    <cellStyle name="Normal 10 7" xfId="131" xr:uid="{00000000-0005-0000-0000-000016000000}"/>
    <cellStyle name="Normal 11" xfId="48" xr:uid="{00000000-0005-0000-0000-000017000000}"/>
    <cellStyle name="Normal 11 2" xfId="81" xr:uid="{00000000-0005-0000-0000-000018000000}"/>
    <cellStyle name="Normal 11 2 2" xfId="306" xr:uid="{00000000-0005-0000-0000-000019000000}"/>
    <cellStyle name="Normal 11 2 3" xfId="209" xr:uid="{00000000-0005-0000-0000-00001A000000}"/>
    <cellStyle name="Normal 11 3" xfId="90" xr:uid="{00000000-0005-0000-0000-00001B000000}"/>
    <cellStyle name="Normal 11 4" xfId="179" xr:uid="{00000000-0005-0000-0000-00001C000000}"/>
    <cellStyle name="Normal 11 5" xfId="276" xr:uid="{00000000-0005-0000-0000-00001D000000}"/>
    <cellStyle name="Normal 12" xfId="49" xr:uid="{00000000-0005-0000-0000-00001E000000}"/>
    <cellStyle name="Normal 12 2" xfId="50" xr:uid="{00000000-0005-0000-0000-00001F000000}"/>
    <cellStyle name="Normal 12 3" xfId="277" xr:uid="{00000000-0005-0000-0000-000020000000}"/>
    <cellStyle name="Normal 12 4" xfId="180" xr:uid="{00000000-0005-0000-0000-000021000000}"/>
    <cellStyle name="Normal 13" xfId="82" xr:uid="{00000000-0005-0000-0000-000022000000}"/>
    <cellStyle name="Normal 13 2" xfId="210" xr:uid="{00000000-0005-0000-0000-000023000000}"/>
    <cellStyle name="Normal 14" xfId="85" xr:uid="{00000000-0005-0000-0000-000024000000}"/>
    <cellStyle name="Normal 14 2" xfId="213" xr:uid="{00000000-0005-0000-0000-000025000000}"/>
    <cellStyle name="Normal 15" xfId="88" xr:uid="{00000000-0005-0000-0000-000026000000}"/>
    <cellStyle name="Normal 15 2" xfId="311" xr:uid="{00000000-0005-0000-0000-000027000000}"/>
    <cellStyle name="Normal 15 3" xfId="216" xr:uid="{00000000-0005-0000-0000-000028000000}"/>
    <cellStyle name="Normal 16" xfId="342" xr:uid="{00000000-0005-0000-0000-000029000000}"/>
    <cellStyle name="Normal 2" xfId="2" xr:uid="{00000000-0005-0000-0000-00002A000000}"/>
    <cellStyle name="Normal 2 10" xfId="86" xr:uid="{00000000-0005-0000-0000-00002B000000}"/>
    <cellStyle name="Normal 2 10 2" xfId="309" xr:uid="{00000000-0005-0000-0000-00002C000000}"/>
    <cellStyle name="Normal 2 10 3" xfId="214" xr:uid="{00000000-0005-0000-0000-00002D000000}"/>
    <cellStyle name="Normal 2 11" xfId="89" xr:uid="{00000000-0005-0000-0000-00002E000000}"/>
    <cellStyle name="Normal 2 11 2" xfId="312" xr:uid="{00000000-0005-0000-0000-00002F000000}"/>
    <cellStyle name="Normal 2 11 3" xfId="217" xr:uid="{00000000-0005-0000-0000-000030000000}"/>
    <cellStyle name="Normal 2 12" xfId="150" xr:uid="{00000000-0005-0000-0000-000031000000}"/>
    <cellStyle name="Normal 2 13" xfId="247" xr:uid="{00000000-0005-0000-0000-000032000000}"/>
    <cellStyle name="Normal 2 14" xfId="120" xr:uid="{00000000-0005-0000-0000-000033000000}"/>
    <cellStyle name="Normal 2 15" xfId="9" xr:uid="{00000000-0005-0000-0000-000034000000}"/>
    <cellStyle name="Normal 2 2" xfId="11" xr:uid="{00000000-0005-0000-0000-000035000000}"/>
    <cellStyle name="Normal 2 2 10" xfId="122" xr:uid="{00000000-0005-0000-0000-000036000000}"/>
    <cellStyle name="Normal 2 2 2" xfId="27" xr:uid="{00000000-0005-0000-0000-000037000000}"/>
    <cellStyle name="Normal 2 2 2 2" xfId="47" xr:uid="{00000000-0005-0000-0000-000038000000}"/>
    <cellStyle name="Normal 2 2 2 2 2" xfId="80" xr:uid="{00000000-0005-0000-0000-000039000000}"/>
    <cellStyle name="Normal 2 2 2 2 2 2" xfId="305" xr:uid="{00000000-0005-0000-0000-00003A000000}"/>
    <cellStyle name="Normal 2 2 2 2 2 3" xfId="208" xr:uid="{00000000-0005-0000-0000-00003B000000}"/>
    <cellStyle name="Normal 2 2 2 2 3" xfId="119" xr:uid="{00000000-0005-0000-0000-00003C000000}"/>
    <cellStyle name="Normal 2 2 2 2 3 2" xfId="341" xr:uid="{00000000-0005-0000-0000-00003D000000}"/>
    <cellStyle name="Normal 2 2 2 2 3 3" xfId="246" xr:uid="{00000000-0005-0000-0000-00003E000000}"/>
    <cellStyle name="Normal 2 2 2 2 4" xfId="178" xr:uid="{00000000-0005-0000-0000-00003F000000}"/>
    <cellStyle name="Normal 2 2 2 2 5" xfId="275" xr:uid="{00000000-0005-0000-0000-000040000000}"/>
    <cellStyle name="Normal 2 2 2 2 6" xfId="149" xr:uid="{00000000-0005-0000-0000-000041000000}"/>
    <cellStyle name="Normal 2 2 2 3" xfId="64" xr:uid="{00000000-0005-0000-0000-000042000000}"/>
    <cellStyle name="Normal 2 2 2 3 2" xfId="289" xr:uid="{00000000-0005-0000-0000-000043000000}"/>
    <cellStyle name="Normal 2 2 2 3 3" xfId="192" xr:uid="{00000000-0005-0000-0000-000044000000}"/>
    <cellStyle name="Normal 2 2 2 4" xfId="103" xr:uid="{00000000-0005-0000-0000-000045000000}"/>
    <cellStyle name="Normal 2 2 2 4 2" xfId="325" xr:uid="{00000000-0005-0000-0000-000046000000}"/>
    <cellStyle name="Normal 2 2 2 4 3" xfId="230" xr:uid="{00000000-0005-0000-0000-000047000000}"/>
    <cellStyle name="Normal 2 2 2 5" xfId="162" xr:uid="{00000000-0005-0000-0000-000048000000}"/>
    <cellStyle name="Normal 2 2 2 6" xfId="259" xr:uid="{00000000-0005-0000-0000-000049000000}"/>
    <cellStyle name="Normal 2 2 2 7" xfId="133" xr:uid="{00000000-0005-0000-0000-00004A000000}"/>
    <cellStyle name="Normal 2 2 3" xfId="34" xr:uid="{00000000-0005-0000-0000-00004B000000}"/>
    <cellStyle name="Normal 2 2 3 2" xfId="69" xr:uid="{00000000-0005-0000-0000-00004C000000}"/>
    <cellStyle name="Normal 2 2 3 2 2" xfId="294" xr:uid="{00000000-0005-0000-0000-00004D000000}"/>
    <cellStyle name="Normal 2 2 3 2 3" xfId="197" xr:uid="{00000000-0005-0000-0000-00004E000000}"/>
    <cellStyle name="Normal 2 2 3 3" xfId="108" xr:uid="{00000000-0005-0000-0000-00004F000000}"/>
    <cellStyle name="Normal 2 2 3 3 2" xfId="330" xr:uid="{00000000-0005-0000-0000-000050000000}"/>
    <cellStyle name="Normal 2 2 3 3 3" xfId="235" xr:uid="{00000000-0005-0000-0000-000051000000}"/>
    <cellStyle name="Normal 2 2 3 4" xfId="167" xr:uid="{00000000-0005-0000-0000-000052000000}"/>
    <cellStyle name="Normal 2 2 3 5" xfId="264" xr:uid="{00000000-0005-0000-0000-000053000000}"/>
    <cellStyle name="Normal 2 2 3 6" xfId="138" xr:uid="{00000000-0005-0000-0000-000054000000}"/>
    <cellStyle name="Normal 2 2 4" xfId="52" xr:uid="{00000000-0005-0000-0000-000055000000}"/>
    <cellStyle name="Normal 2 2 4 2" xfId="278" xr:uid="{00000000-0005-0000-0000-000056000000}"/>
    <cellStyle name="Normal 2 2 4 3" xfId="181" xr:uid="{00000000-0005-0000-0000-000057000000}"/>
    <cellStyle name="Normal 2 2 5" xfId="84" xr:uid="{00000000-0005-0000-0000-000058000000}"/>
    <cellStyle name="Normal 2 2 5 2" xfId="308" xr:uid="{00000000-0005-0000-0000-000059000000}"/>
    <cellStyle name="Normal 2 2 5 3" xfId="212" xr:uid="{00000000-0005-0000-0000-00005A000000}"/>
    <cellStyle name="Normal 2 2 6" xfId="87" xr:uid="{00000000-0005-0000-0000-00005B000000}"/>
    <cellStyle name="Normal 2 2 6 2" xfId="310" xr:uid="{00000000-0005-0000-0000-00005C000000}"/>
    <cellStyle name="Normal 2 2 6 3" xfId="215" xr:uid="{00000000-0005-0000-0000-00005D000000}"/>
    <cellStyle name="Normal 2 2 7" xfId="92" xr:uid="{00000000-0005-0000-0000-00005E000000}"/>
    <cellStyle name="Normal 2 2 7 2" xfId="314" xr:uid="{00000000-0005-0000-0000-00005F000000}"/>
    <cellStyle name="Normal 2 2 7 3" xfId="219" xr:uid="{00000000-0005-0000-0000-000060000000}"/>
    <cellStyle name="Normal 2 2 8" xfId="151" xr:uid="{00000000-0005-0000-0000-000061000000}"/>
    <cellStyle name="Normal 2 2 9" xfId="248" xr:uid="{00000000-0005-0000-0000-000062000000}"/>
    <cellStyle name="Normal 2 3" xfId="15" xr:uid="{00000000-0005-0000-0000-000063000000}"/>
    <cellStyle name="Normal 2 4" xfId="17" xr:uid="{00000000-0005-0000-0000-000064000000}"/>
    <cellStyle name="Normal 2 4 2" xfId="38" xr:uid="{00000000-0005-0000-0000-000065000000}"/>
    <cellStyle name="Normal 2 4 2 2" xfId="72" xr:uid="{00000000-0005-0000-0000-000066000000}"/>
    <cellStyle name="Normal 2 4 2 2 2" xfId="297" xr:uid="{00000000-0005-0000-0000-000067000000}"/>
    <cellStyle name="Normal 2 4 2 2 3" xfId="200" xr:uid="{00000000-0005-0000-0000-000068000000}"/>
    <cellStyle name="Normal 2 4 2 3" xfId="111" xr:uid="{00000000-0005-0000-0000-000069000000}"/>
    <cellStyle name="Normal 2 4 2 3 2" xfId="333" xr:uid="{00000000-0005-0000-0000-00006A000000}"/>
    <cellStyle name="Normal 2 4 2 3 3" xfId="238" xr:uid="{00000000-0005-0000-0000-00006B000000}"/>
    <cellStyle name="Normal 2 4 2 4" xfId="170" xr:uid="{00000000-0005-0000-0000-00006C000000}"/>
    <cellStyle name="Normal 2 4 2 5" xfId="267" xr:uid="{00000000-0005-0000-0000-00006D000000}"/>
    <cellStyle name="Normal 2 4 2 6" xfId="141" xr:uid="{00000000-0005-0000-0000-00006E000000}"/>
    <cellStyle name="Normal 2 4 3" xfId="56" xr:uid="{00000000-0005-0000-0000-00006F000000}"/>
    <cellStyle name="Normal 2 4 3 2" xfId="281" xr:uid="{00000000-0005-0000-0000-000070000000}"/>
    <cellStyle name="Normal 2 4 3 3" xfId="184" xr:uid="{00000000-0005-0000-0000-000071000000}"/>
    <cellStyle name="Normal 2 4 4" xfId="95" xr:uid="{00000000-0005-0000-0000-000072000000}"/>
    <cellStyle name="Normal 2 4 4 2" xfId="317" xr:uid="{00000000-0005-0000-0000-000073000000}"/>
    <cellStyle name="Normal 2 4 4 3" xfId="222" xr:uid="{00000000-0005-0000-0000-000074000000}"/>
    <cellStyle name="Normal 2 4 5" xfId="154" xr:uid="{00000000-0005-0000-0000-000075000000}"/>
    <cellStyle name="Normal 2 4 6" xfId="251" xr:uid="{00000000-0005-0000-0000-000076000000}"/>
    <cellStyle name="Normal 2 4 7" xfId="125" xr:uid="{00000000-0005-0000-0000-000077000000}"/>
    <cellStyle name="Normal 2 5" xfId="22" xr:uid="{00000000-0005-0000-0000-000078000000}"/>
    <cellStyle name="Normal 2 5 2" xfId="42" xr:uid="{00000000-0005-0000-0000-000079000000}"/>
    <cellStyle name="Normal 2 5 2 2" xfId="75" xr:uid="{00000000-0005-0000-0000-00007A000000}"/>
    <cellStyle name="Normal 2 5 2 2 2" xfId="300" xr:uid="{00000000-0005-0000-0000-00007B000000}"/>
    <cellStyle name="Normal 2 5 2 2 3" xfId="203" xr:uid="{00000000-0005-0000-0000-00007C000000}"/>
    <cellStyle name="Normal 2 5 2 3" xfId="114" xr:uid="{00000000-0005-0000-0000-00007D000000}"/>
    <cellStyle name="Normal 2 5 2 3 2" xfId="336" xr:uid="{00000000-0005-0000-0000-00007E000000}"/>
    <cellStyle name="Normal 2 5 2 3 3" xfId="241" xr:uid="{00000000-0005-0000-0000-00007F000000}"/>
    <cellStyle name="Normal 2 5 2 4" xfId="173" xr:uid="{00000000-0005-0000-0000-000080000000}"/>
    <cellStyle name="Normal 2 5 2 5" xfId="270" xr:uid="{00000000-0005-0000-0000-000081000000}"/>
    <cellStyle name="Normal 2 5 2 6" xfId="144" xr:uid="{00000000-0005-0000-0000-000082000000}"/>
    <cellStyle name="Normal 2 5 3" xfId="59" xr:uid="{00000000-0005-0000-0000-000083000000}"/>
    <cellStyle name="Normal 2 5 3 2" xfId="284" xr:uid="{00000000-0005-0000-0000-000084000000}"/>
    <cellStyle name="Normal 2 5 3 3" xfId="187" xr:uid="{00000000-0005-0000-0000-000085000000}"/>
    <cellStyle name="Normal 2 5 4" xfId="98" xr:uid="{00000000-0005-0000-0000-000086000000}"/>
    <cellStyle name="Normal 2 5 4 2" xfId="320" xr:uid="{00000000-0005-0000-0000-000087000000}"/>
    <cellStyle name="Normal 2 5 4 3" xfId="225" xr:uid="{00000000-0005-0000-0000-000088000000}"/>
    <cellStyle name="Normal 2 5 5" xfId="157" xr:uid="{00000000-0005-0000-0000-000089000000}"/>
    <cellStyle name="Normal 2 5 6" xfId="254" xr:uid="{00000000-0005-0000-0000-00008A000000}"/>
    <cellStyle name="Normal 2 5 7" xfId="128" xr:uid="{00000000-0005-0000-0000-00008B000000}"/>
    <cellStyle name="Normal 2 6" xfId="26" xr:uid="{00000000-0005-0000-0000-00008C000000}"/>
    <cellStyle name="Normal 2 6 2" xfId="46" xr:uid="{00000000-0005-0000-0000-00008D000000}"/>
    <cellStyle name="Normal 2 6 2 2" xfId="79" xr:uid="{00000000-0005-0000-0000-00008E000000}"/>
    <cellStyle name="Normal 2 6 2 2 2" xfId="304" xr:uid="{00000000-0005-0000-0000-00008F000000}"/>
    <cellStyle name="Normal 2 6 2 2 3" xfId="207" xr:uid="{00000000-0005-0000-0000-000090000000}"/>
    <cellStyle name="Normal 2 6 2 3" xfId="118" xr:uid="{00000000-0005-0000-0000-000091000000}"/>
    <cellStyle name="Normal 2 6 2 3 2" xfId="340" xr:uid="{00000000-0005-0000-0000-000092000000}"/>
    <cellStyle name="Normal 2 6 2 3 3" xfId="245" xr:uid="{00000000-0005-0000-0000-000093000000}"/>
    <cellStyle name="Normal 2 6 2 4" xfId="177" xr:uid="{00000000-0005-0000-0000-000094000000}"/>
    <cellStyle name="Normal 2 6 2 5" xfId="274" xr:uid="{00000000-0005-0000-0000-000095000000}"/>
    <cellStyle name="Normal 2 6 2 6" xfId="148" xr:uid="{00000000-0005-0000-0000-000096000000}"/>
    <cellStyle name="Normal 2 6 3" xfId="63" xr:uid="{00000000-0005-0000-0000-000097000000}"/>
    <cellStyle name="Normal 2 6 3 2" xfId="288" xr:uid="{00000000-0005-0000-0000-000098000000}"/>
    <cellStyle name="Normal 2 6 3 3" xfId="191" xr:uid="{00000000-0005-0000-0000-000099000000}"/>
    <cellStyle name="Normal 2 6 4" xfId="102" xr:uid="{00000000-0005-0000-0000-00009A000000}"/>
    <cellStyle name="Normal 2 6 4 2" xfId="324" xr:uid="{00000000-0005-0000-0000-00009B000000}"/>
    <cellStyle name="Normal 2 6 4 3" xfId="229" xr:uid="{00000000-0005-0000-0000-00009C000000}"/>
    <cellStyle name="Normal 2 6 5" xfId="161" xr:uid="{00000000-0005-0000-0000-00009D000000}"/>
    <cellStyle name="Normal 2 6 6" xfId="258" xr:uid="{00000000-0005-0000-0000-00009E000000}"/>
    <cellStyle name="Normal 2 6 7" xfId="132" xr:uid="{00000000-0005-0000-0000-00009F000000}"/>
    <cellStyle name="Normal 2 7" xfId="32" xr:uid="{00000000-0005-0000-0000-0000A0000000}"/>
    <cellStyle name="Normal 2 7 2" xfId="68" xr:uid="{00000000-0005-0000-0000-0000A1000000}"/>
    <cellStyle name="Normal 2 7 2 2" xfId="293" xr:uid="{00000000-0005-0000-0000-0000A2000000}"/>
    <cellStyle name="Normal 2 7 2 3" xfId="196" xr:uid="{00000000-0005-0000-0000-0000A3000000}"/>
    <cellStyle name="Normal 2 7 3" xfId="107" xr:uid="{00000000-0005-0000-0000-0000A4000000}"/>
    <cellStyle name="Normal 2 7 3 2" xfId="329" xr:uid="{00000000-0005-0000-0000-0000A5000000}"/>
    <cellStyle name="Normal 2 7 3 3" xfId="234" xr:uid="{00000000-0005-0000-0000-0000A6000000}"/>
    <cellStyle name="Normal 2 7 4" xfId="166" xr:uid="{00000000-0005-0000-0000-0000A7000000}"/>
    <cellStyle name="Normal 2 7 5" xfId="263" xr:uid="{00000000-0005-0000-0000-0000A8000000}"/>
    <cellStyle name="Normal 2 7 6" xfId="137" xr:uid="{00000000-0005-0000-0000-0000A9000000}"/>
    <cellStyle name="Normal 2 8" xfId="28" xr:uid="{00000000-0005-0000-0000-0000AA000000}"/>
    <cellStyle name="Normal 2 8 2" xfId="65" xr:uid="{00000000-0005-0000-0000-0000AB000000}"/>
    <cellStyle name="Normal 2 8 2 2" xfId="290" xr:uid="{00000000-0005-0000-0000-0000AC000000}"/>
    <cellStyle name="Normal 2 8 2 3" xfId="193" xr:uid="{00000000-0005-0000-0000-0000AD000000}"/>
    <cellStyle name="Normal 2 8 3" xfId="104" xr:uid="{00000000-0005-0000-0000-0000AE000000}"/>
    <cellStyle name="Normal 2 8 3 2" xfId="326" xr:uid="{00000000-0005-0000-0000-0000AF000000}"/>
    <cellStyle name="Normal 2 8 3 3" xfId="231" xr:uid="{00000000-0005-0000-0000-0000B0000000}"/>
    <cellStyle name="Normal 2 8 4" xfId="163" xr:uid="{00000000-0005-0000-0000-0000B1000000}"/>
    <cellStyle name="Normal 2 8 5" xfId="260" xr:uid="{00000000-0005-0000-0000-0000B2000000}"/>
    <cellStyle name="Normal 2 8 6" xfId="134" xr:uid="{00000000-0005-0000-0000-0000B3000000}"/>
    <cellStyle name="Normal 2 9" xfId="83" xr:uid="{00000000-0005-0000-0000-0000B4000000}"/>
    <cellStyle name="Normal 2 9 2" xfId="91" xr:uid="{00000000-0005-0000-0000-0000B5000000}"/>
    <cellStyle name="Normal 2 9 2 2" xfId="313" xr:uid="{00000000-0005-0000-0000-0000B6000000}"/>
    <cellStyle name="Normal 2 9 2 3" xfId="218" xr:uid="{00000000-0005-0000-0000-0000B7000000}"/>
    <cellStyle name="Normal 2 9 3" xfId="211" xr:uid="{00000000-0005-0000-0000-0000B8000000}"/>
    <cellStyle name="Normal 2 9 4" xfId="307" xr:uid="{00000000-0005-0000-0000-0000B9000000}"/>
    <cellStyle name="Normal 2 9 5" xfId="121" xr:uid="{00000000-0005-0000-0000-0000BA000000}"/>
    <cellStyle name="Normal 3" xfId="3" xr:uid="{00000000-0005-0000-0000-0000BB000000}"/>
    <cellStyle name="Normal 3 2" xfId="18" xr:uid="{00000000-0005-0000-0000-0000BC000000}"/>
    <cellStyle name="Normal 3 2 2" xfId="39" xr:uid="{00000000-0005-0000-0000-0000BD000000}"/>
    <cellStyle name="Normal 3 2 2 2" xfId="73" xr:uid="{00000000-0005-0000-0000-0000BE000000}"/>
    <cellStyle name="Normal 3 2 2 2 2" xfId="298" xr:uid="{00000000-0005-0000-0000-0000BF000000}"/>
    <cellStyle name="Normal 3 2 2 2 3" xfId="201" xr:uid="{00000000-0005-0000-0000-0000C0000000}"/>
    <cellStyle name="Normal 3 2 2 3" xfId="112" xr:uid="{00000000-0005-0000-0000-0000C1000000}"/>
    <cellStyle name="Normal 3 2 2 3 2" xfId="334" xr:uid="{00000000-0005-0000-0000-0000C2000000}"/>
    <cellStyle name="Normal 3 2 2 3 3" xfId="239" xr:uid="{00000000-0005-0000-0000-0000C3000000}"/>
    <cellStyle name="Normal 3 2 2 4" xfId="171" xr:uid="{00000000-0005-0000-0000-0000C4000000}"/>
    <cellStyle name="Normal 3 2 2 5" xfId="268" xr:uid="{00000000-0005-0000-0000-0000C5000000}"/>
    <cellStyle name="Normal 3 2 2 6" xfId="142" xr:uid="{00000000-0005-0000-0000-0000C6000000}"/>
    <cellStyle name="Normal 3 2 3" xfId="57" xr:uid="{00000000-0005-0000-0000-0000C7000000}"/>
    <cellStyle name="Normal 3 2 3 2" xfId="282" xr:uid="{00000000-0005-0000-0000-0000C8000000}"/>
    <cellStyle name="Normal 3 2 3 3" xfId="185" xr:uid="{00000000-0005-0000-0000-0000C9000000}"/>
    <cellStyle name="Normal 3 2 4" xfId="96" xr:uid="{00000000-0005-0000-0000-0000CA000000}"/>
    <cellStyle name="Normal 3 2 4 2" xfId="318" xr:uid="{00000000-0005-0000-0000-0000CB000000}"/>
    <cellStyle name="Normal 3 2 4 3" xfId="223" xr:uid="{00000000-0005-0000-0000-0000CC000000}"/>
    <cellStyle name="Normal 3 2 5" xfId="155" xr:uid="{00000000-0005-0000-0000-0000CD000000}"/>
    <cellStyle name="Normal 3 2 6" xfId="252" xr:uid="{00000000-0005-0000-0000-0000CE000000}"/>
    <cellStyle name="Normal 3 2 7" xfId="126" xr:uid="{00000000-0005-0000-0000-0000CF000000}"/>
    <cellStyle name="Normal 3 3" xfId="23" xr:uid="{00000000-0005-0000-0000-0000D0000000}"/>
    <cellStyle name="Normal 3 3 2" xfId="43" xr:uid="{00000000-0005-0000-0000-0000D1000000}"/>
    <cellStyle name="Normal 3 3 2 2" xfId="76" xr:uid="{00000000-0005-0000-0000-0000D2000000}"/>
    <cellStyle name="Normal 3 3 2 2 2" xfId="301" xr:uid="{00000000-0005-0000-0000-0000D3000000}"/>
    <cellStyle name="Normal 3 3 2 2 3" xfId="204" xr:uid="{00000000-0005-0000-0000-0000D4000000}"/>
    <cellStyle name="Normal 3 3 2 3" xfId="115" xr:uid="{00000000-0005-0000-0000-0000D5000000}"/>
    <cellStyle name="Normal 3 3 2 3 2" xfId="337" xr:uid="{00000000-0005-0000-0000-0000D6000000}"/>
    <cellStyle name="Normal 3 3 2 3 3" xfId="242" xr:uid="{00000000-0005-0000-0000-0000D7000000}"/>
    <cellStyle name="Normal 3 3 2 4" xfId="174" xr:uid="{00000000-0005-0000-0000-0000D8000000}"/>
    <cellStyle name="Normal 3 3 2 5" xfId="271" xr:uid="{00000000-0005-0000-0000-0000D9000000}"/>
    <cellStyle name="Normal 3 3 2 6" xfId="145" xr:uid="{00000000-0005-0000-0000-0000DA000000}"/>
    <cellStyle name="Normal 3 3 3" xfId="60" xr:uid="{00000000-0005-0000-0000-0000DB000000}"/>
    <cellStyle name="Normal 3 3 3 2" xfId="285" xr:uid="{00000000-0005-0000-0000-0000DC000000}"/>
    <cellStyle name="Normal 3 3 3 3" xfId="188" xr:uid="{00000000-0005-0000-0000-0000DD000000}"/>
    <cellStyle name="Normal 3 3 4" xfId="99" xr:uid="{00000000-0005-0000-0000-0000DE000000}"/>
    <cellStyle name="Normal 3 3 4 2" xfId="321" xr:uid="{00000000-0005-0000-0000-0000DF000000}"/>
    <cellStyle name="Normal 3 3 4 3" xfId="226" xr:uid="{00000000-0005-0000-0000-0000E0000000}"/>
    <cellStyle name="Normal 3 3 5" xfId="158" xr:uid="{00000000-0005-0000-0000-0000E1000000}"/>
    <cellStyle name="Normal 3 3 6" xfId="255" xr:uid="{00000000-0005-0000-0000-0000E2000000}"/>
    <cellStyle name="Normal 3 3 7" xfId="129" xr:uid="{00000000-0005-0000-0000-0000E3000000}"/>
    <cellStyle name="Normal 3 4" xfId="33" xr:uid="{00000000-0005-0000-0000-0000E4000000}"/>
    <cellStyle name="Normal 3 5" xfId="29" xr:uid="{00000000-0005-0000-0000-0000E5000000}"/>
    <cellStyle name="Normal 3 5 2" xfId="66" xr:uid="{00000000-0005-0000-0000-0000E6000000}"/>
    <cellStyle name="Normal 3 5 2 2" xfId="291" xr:uid="{00000000-0005-0000-0000-0000E7000000}"/>
    <cellStyle name="Normal 3 5 2 3" xfId="194" xr:uid="{00000000-0005-0000-0000-0000E8000000}"/>
    <cellStyle name="Normal 3 5 3" xfId="105" xr:uid="{00000000-0005-0000-0000-0000E9000000}"/>
    <cellStyle name="Normal 3 5 3 2" xfId="327" xr:uid="{00000000-0005-0000-0000-0000EA000000}"/>
    <cellStyle name="Normal 3 5 3 3" xfId="232" xr:uid="{00000000-0005-0000-0000-0000EB000000}"/>
    <cellStyle name="Normal 3 5 4" xfId="164" xr:uid="{00000000-0005-0000-0000-0000EC000000}"/>
    <cellStyle name="Normal 3 5 5" xfId="261" xr:uid="{00000000-0005-0000-0000-0000ED000000}"/>
    <cellStyle name="Normal 3 5 6" xfId="135" xr:uid="{00000000-0005-0000-0000-0000EE000000}"/>
    <cellStyle name="Normal 3 6" xfId="10" xr:uid="{00000000-0005-0000-0000-0000EF000000}"/>
    <cellStyle name="Normal 4" xfId="4" xr:uid="{00000000-0005-0000-0000-0000F0000000}"/>
    <cellStyle name="Normal 4 2" xfId="19" xr:uid="{00000000-0005-0000-0000-0000F1000000}"/>
    <cellStyle name="Normal 4 2 2" xfId="40" xr:uid="{00000000-0005-0000-0000-0000F2000000}"/>
    <cellStyle name="Normal 4 2 2 2" xfId="74" xr:uid="{00000000-0005-0000-0000-0000F3000000}"/>
    <cellStyle name="Normal 4 2 2 2 2" xfId="299" xr:uid="{00000000-0005-0000-0000-0000F4000000}"/>
    <cellStyle name="Normal 4 2 2 2 3" xfId="202" xr:uid="{00000000-0005-0000-0000-0000F5000000}"/>
    <cellStyle name="Normal 4 2 2 3" xfId="113" xr:uid="{00000000-0005-0000-0000-0000F6000000}"/>
    <cellStyle name="Normal 4 2 2 3 2" xfId="335" xr:uid="{00000000-0005-0000-0000-0000F7000000}"/>
    <cellStyle name="Normal 4 2 2 3 3" xfId="240" xr:uid="{00000000-0005-0000-0000-0000F8000000}"/>
    <cellStyle name="Normal 4 2 2 4" xfId="172" xr:uid="{00000000-0005-0000-0000-0000F9000000}"/>
    <cellStyle name="Normal 4 2 2 5" xfId="269" xr:uid="{00000000-0005-0000-0000-0000FA000000}"/>
    <cellStyle name="Normal 4 2 2 6" xfId="143" xr:uid="{00000000-0005-0000-0000-0000FB000000}"/>
    <cellStyle name="Normal 4 2 3" xfId="58" xr:uid="{00000000-0005-0000-0000-0000FC000000}"/>
    <cellStyle name="Normal 4 2 3 2" xfId="283" xr:uid="{00000000-0005-0000-0000-0000FD000000}"/>
    <cellStyle name="Normal 4 2 3 3" xfId="186" xr:uid="{00000000-0005-0000-0000-0000FE000000}"/>
    <cellStyle name="Normal 4 2 4" xfId="97" xr:uid="{00000000-0005-0000-0000-0000FF000000}"/>
    <cellStyle name="Normal 4 2 4 2" xfId="319" xr:uid="{00000000-0005-0000-0000-000000010000}"/>
    <cellStyle name="Normal 4 2 4 3" xfId="224" xr:uid="{00000000-0005-0000-0000-000001010000}"/>
    <cellStyle name="Normal 4 2 5" xfId="156" xr:uid="{00000000-0005-0000-0000-000002010000}"/>
    <cellStyle name="Normal 4 2 6" xfId="253" xr:uid="{00000000-0005-0000-0000-000003010000}"/>
    <cellStyle name="Normal 4 2 7" xfId="127" xr:uid="{00000000-0005-0000-0000-000004010000}"/>
    <cellStyle name="Normal 4 3" xfId="24" xr:uid="{00000000-0005-0000-0000-000005010000}"/>
    <cellStyle name="Normal 4 3 2" xfId="44" xr:uid="{00000000-0005-0000-0000-000006010000}"/>
    <cellStyle name="Normal 4 3 2 2" xfId="77" xr:uid="{00000000-0005-0000-0000-000007010000}"/>
    <cellStyle name="Normal 4 3 2 2 2" xfId="302" xr:uid="{00000000-0005-0000-0000-000008010000}"/>
    <cellStyle name="Normal 4 3 2 2 3" xfId="205" xr:uid="{00000000-0005-0000-0000-000009010000}"/>
    <cellStyle name="Normal 4 3 2 3" xfId="116" xr:uid="{00000000-0005-0000-0000-00000A010000}"/>
    <cellStyle name="Normal 4 3 2 3 2" xfId="338" xr:uid="{00000000-0005-0000-0000-00000B010000}"/>
    <cellStyle name="Normal 4 3 2 3 3" xfId="243" xr:uid="{00000000-0005-0000-0000-00000C010000}"/>
    <cellStyle name="Normal 4 3 2 4" xfId="175" xr:uid="{00000000-0005-0000-0000-00000D010000}"/>
    <cellStyle name="Normal 4 3 2 5" xfId="272" xr:uid="{00000000-0005-0000-0000-00000E010000}"/>
    <cellStyle name="Normal 4 3 2 6" xfId="146" xr:uid="{00000000-0005-0000-0000-00000F010000}"/>
    <cellStyle name="Normal 4 3 3" xfId="61" xr:uid="{00000000-0005-0000-0000-000010010000}"/>
    <cellStyle name="Normal 4 3 3 2" xfId="286" xr:uid="{00000000-0005-0000-0000-000011010000}"/>
    <cellStyle name="Normal 4 3 3 3" xfId="189" xr:uid="{00000000-0005-0000-0000-000012010000}"/>
    <cellStyle name="Normal 4 3 4" xfId="100" xr:uid="{00000000-0005-0000-0000-000013010000}"/>
    <cellStyle name="Normal 4 3 4 2" xfId="322" xr:uid="{00000000-0005-0000-0000-000014010000}"/>
    <cellStyle name="Normal 4 3 4 3" xfId="227" xr:uid="{00000000-0005-0000-0000-000015010000}"/>
    <cellStyle name="Normal 4 3 5" xfId="159" xr:uid="{00000000-0005-0000-0000-000016010000}"/>
    <cellStyle name="Normal 4 3 6" xfId="256" xr:uid="{00000000-0005-0000-0000-000017010000}"/>
    <cellStyle name="Normal 4 3 7" xfId="130" xr:uid="{00000000-0005-0000-0000-000018010000}"/>
    <cellStyle name="Normal 4 4" xfId="35" xr:uid="{00000000-0005-0000-0000-000019010000}"/>
    <cellStyle name="Normal 4 5" xfId="30" xr:uid="{00000000-0005-0000-0000-00001A010000}"/>
    <cellStyle name="Normal 4 5 2" xfId="67" xr:uid="{00000000-0005-0000-0000-00001B010000}"/>
    <cellStyle name="Normal 4 5 2 2" xfId="292" xr:uid="{00000000-0005-0000-0000-00001C010000}"/>
    <cellStyle name="Normal 4 5 2 3" xfId="195" xr:uid="{00000000-0005-0000-0000-00001D010000}"/>
    <cellStyle name="Normal 4 5 3" xfId="106" xr:uid="{00000000-0005-0000-0000-00001E010000}"/>
    <cellStyle name="Normal 4 5 3 2" xfId="328" xr:uid="{00000000-0005-0000-0000-00001F010000}"/>
    <cellStyle name="Normal 4 5 3 3" xfId="233" xr:uid="{00000000-0005-0000-0000-000020010000}"/>
    <cellStyle name="Normal 4 5 4" xfId="165" xr:uid="{00000000-0005-0000-0000-000021010000}"/>
    <cellStyle name="Normal 4 5 5" xfId="262" xr:uid="{00000000-0005-0000-0000-000022010000}"/>
    <cellStyle name="Normal 4 5 6" xfId="136" xr:uid="{00000000-0005-0000-0000-000023010000}"/>
    <cellStyle name="Normal 4 6" xfId="53" xr:uid="{00000000-0005-0000-0000-000024010000}"/>
    <cellStyle name="Normal 4 7" xfId="12" xr:uid="{00000000-0005-0000-0000-000025010000}"/>
    <cellStyle name="Normal 5" xfId="5" xr:uid="{00000000-0005-0000-0000-000026010000}"/>
    <cellStyle name="Normal 5 2" xfId="20" xr:uid="{00000000-0005-0000-0000-000027010000}"/>
    <cellStyle name="Normal 5 3" xfId="31" xr:uid="{00000000-0005-0000-0000-000028010000}"/>
    <cellStyle name="Normal 5 4" xfId="8" xr:uid="{00000000-0005-0000-0000-000029010000}"/>
    <cellStyle name="Normal 6" xfId="6" xr:uid="{00000000-0005-0000-0000-00002A010000}"/>
    <cellStyle name="Normal 6 2" xfId="36" xr:uid="{00000000-0005-0000-0000-00002B010000}"/>
    <cellStyle name="Normal 6 2 2" xfId="70" xr:uid="{00000000-0005-0000-0000-00002C010000}"/>
    <cellStyle name="Normal 6 2 2 2" xfId="295" xr:uid="{00000000-0005-0000-0000-00002D010000}"/>
    <cellStyle name="Normal 6 2 2 3" xfId="198" xr:uid="{00000000-0005-0000-0000-00002E010000}"/>
    <cellStyle name="Normal 6 2 3" xfId="109" xr:uid="{00000000-0005-0000-0000-00002F010000}"/>
    <cellStyle name="Normal 6 2 3 2" xfId="331" xr:uid="{00000000-0005-0000-0000-000030010000}"/>
    <cellStyle name="Normal 6 2 3 3" xfId="236" xr:uid="{00000000-0005-0000-0000-000031010000}"/>
    <cellStyle name="Normal 6 2 4" xfId="168" xr:uid="{00000000-0005-0000-0000-000032010000}"/>
    <cellStyle name="Normal 6 2 5" xfId="265" xr:uid="{00000000-0005-0000-0000-000033010000}"/>
    <cellStyle name="Normal 6 2 6" xfId="139" xr:uid="{00000000-0005-0000-0000-000034010000}"/>
    <cellStyle name="Normal 6 3" xfId="54" xr:uid="{00000000-0005-0000-0000-000035010000}"/>
    <cellStyle name="Normal 6 3 2" xfId="279" xr:uid="{00000000-0005-0000-0000-000036010000}"/>
    <cellStyle name="Normal 6 3 3" xfId="182" xr:uid="{00000000-0005-0000-0000-000037010000}"/>
    <cellStyle name="Normal 6 4" xfId="93" xr:uid="{00000000-0005-0000-0000-000038010000}"/>
    <cellStyle name="Normal 6 4 2" xfId="315" xr:uid="{00000000-0005-0000-0000-000039010000}"/>
    <cellStyle name="Normal 6 4 3" xfId="220" xr:uid="{00000000-0005-0000-0000-00003A010000}"/>
    <cellStyle name="Normal 6 5" xfId="152" xr:uid="{00000000-0005-0000-0000-00003B010000}"/>
    <cellStyle name="Normal 6 6" xfId="249" xr:uid="{00000000-0005-0000-0000-00003C010000}"/>
    <cellStyle name="Normal 6 7" xfId="123" xr:uid="{00000000-0005-0000-0000-00003D010000}"/>
    <cellStyle name="Normal 6 8" xfId="13" xr:uid="{00000000-0005-0000-0000-00003E010000}"/>
    <cellStyle name="Normal 7" xfId="7" xr:uid="{00000000-0005-0000-0000-00003F010000}"/>
    <cellStyle name="Normal 7 2" xfId="37" xr:uid="{00000000-0005-0000-0000-000040010000}"/>
    <cellStyle name="Normal 7 2 2" xfId="71" xr:uid="{00000000-0005-0000-0000-000041010000}"/>
    <cellStyle name="Normal 7 2 2 2" xfId="296" xr:uid="{00000000-0005-0000-0000-000042010000}"/>
    <cellStyle name="Normal 7 2 2 3" xfId="199" xr:uid="{00000000-0005-0000-0000-000043010000}"/>
    <cellStyle name="Normal 7 2 3" xfId="110" xr:uid="{00000000-0005-0000-0000-000044010000}"/>
    <cellStyle name="Normal 7 2 3 2" xfId="332" xr:uid="{00000000-0005-0000-0000-000045010000}"/>
    <cellStyle name="Normal 7 2 3 3" xfId="237" xr:uid="{00000000-0005-0000-0000-000046010000}"/>
    <cellStyle name="Normal 7 2 4" xfId="169" xr:uid="{00000000-0005-0000-0000-000047010000}"/>
    <cellStyle name="Normal 7 2 5" xfId="266" xr:uid="{00000000-0005-0000-0000-000048010000}"/>
    <cellStyle name="Normal 7 2 6" xfId="140" xr:uid="{00000000-0005-0000-0000-000049010000}"/>
    <cellStyle name="Normal 7 3" xfId="55" xr:uid="{00000000-0005-0000-0000-00004A010000}"/>
    <cellStyle name="Normal 7 3 2" xfId="280" xr:uid="{00000000-0005-0000-0000-00004B010000}"/>
    <cellStyle name="Normal 7 3 3" xfId="183" xr:uid="{00000000-0005-0000-0000-00004C010000}"/>
    <cellStyle name="Normal 7 4" xfId="94" xr:uid="{00000000-0005-0000-0000-00004D010000}"/>
    <cellStyle name="Normal 7 4 2" xfId="316" xr:uid="{00000000-0005-0000-0000-00004E010000}"/>
    <cellStyle name="Normal 7 4 3" xfId="221" xr:uid="{00000000-0005-0000-0000-00004F010000}"/>
    <cellStyle name="Normal 7 5" xfId="153" xr:uid="{00000000-0005-0000-0000-000050010000}"/>
    <cellStyle name="Normal 7 6" xfId="250" xr:uid="{00000000-0005-0000-0000-000051010000}"/>
    <cellStyle name="Normal 7 7" xfId="124" xr:uid="{00000000-0005-0000-0000-000052010000}"/>
    <cellStyle name="Normal 7 8" xfId="14" xr:uid="{00000000-0005-0000-0000-000053010000}"/>
    <cellStyle name="Normal 8" xfId="16" xr:uid="{00000000-0005-0000-0000-000054010000}"/>
    <cellStyle name="Normal 9" xfId="21" xr:uid="{00000000-0005-0000-0000-000055010000}"/>
    <cellStyle name="Normal 9 2" xfId="41" xr:uid="{00000000-0005-0000-0000-000056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zoomScaleNormal="100" workbookViewId="0">
      <selection activeCell="K11" sqref="K11"/>
    </sheetView>
  </sheetViews>
  <sheetFormatPr defaultRowHeight="12.5"/>
  <cols>
    <col min="1" max="1" width="17.7265625" customWidth="1"/>
    <col min="2" max="4" width="19" customWidth="1"/>
    <col min="5" max="6" width="29.7265625" customWidth="1"/>
    <col min="7" max="7" width="16.81640625" customWidth="1"/>
    <col min="8" max="8" width="26" customWidth="1"/>
    <col min="9" max="9" width="13.26953125" customWidth="1"/>
    <col min="10" max="10" width="8.26953125" customWidth="1"/>
    <col min="11" max="11" width="12.453125" customWidth="1"/>
    <col min="12" max="12" width="11.54296875" hidden="1" customWidth="1"/>
  </cols>
  <sheetData>
    <row r="1" spans="1:12" ht="13" thickBot="1"/>
    <row r="2" spans="1:12" ht="28.5" thickBot="1">
      <c r="A2" s="39" t="s">
        <v>9</v>
      </c>
      <c r="B2" s="40"/>
      <c r="C2" s="40"/>
      <c r="D2" s="40"/>
      <c r="E2" s="40"/>
      <c r="F2" s="40"/>
      <c r="G2" s="40"/>
      <c r="H2" s="40"/>
      <c r="I2" s="40"/>
    </row>
    <row r="4" spans="1:12" ht="15.5">
      <c r="H4" s="15" t="s">
        <v>35</v>
      </c>
    </row>
    <row r="5" spans="1:12" ht="15.5">
      <c r="G5" s="47" t="s">
        <v>41</v>
      </c>
      <c r="H5" s="15" t="s">
        <v>36</v>
      </c>
    </row>
    <row r="6" spans="1:12" ht="15.5">
      <c r="H6" s="15" t="s">
        <v>37</v>
      </c>
    </row>
    <row r="7" spans="1:12" ht="15.5">
      <c r="H7" s="15" t="s">
        <v>38</v>
      </c>
    </row>
    <row r="8" spans="1:12" ht="15.5">
      <c r="H8" s="15" t="s">
        <v>39</v>
      </c>
    </row>
    <row r="9" spans="1:12" ht="15.5">
      <c r="H9" s="15" t="s">
        <v>40</v>
      </c>
    </row>
    <row r="11" spans="1:12" ht="18">
      <c r="A11" s="38" t="s">
        <v>0</v>
      </c>
      <c r="B11" s="38"/>
      <c r="C11" s="38"/>
      <c r="D11" s="38"/>
      <c r="E11" s="38"/>
      <c r="F11" s="38"/>
      <c r="G11" s="38"/>
      <c r="H11" s="38"/>
      <c r="L11" s="1"/>
    </row>
    <row r="14" spans="1:12">
      <c r="E14" s="4"/>
      <c r="F14" s="4"/>
    </row>
    <row r="15" spans="1:12" ht="13">
      <c r="A15" s="3" t="s">
        <v>3</v>
      </c>
      <c r="B15" s="16" t="s">
        <v>11</v>
      </c>
      <c r="C15" s="16"/>
      <c r="D15" s="16"/>
      <c r="E15" s="5"/>
      <c r="F15" s="5"/>
    </row>
    <row r="16" spans="1:12" ht="13">
      <c r="A16" s="3"/>
    </row>
    <row r="17" spans="1:9" ht="13">
      <c r="A17" s="3" t="s">
        <v>6</v>
      </c>
      <c r="E17" s="6" t="s">
        <v>4</v>
      </c>
      <c r="F17" s="6"/>
    </row>
    <row r="18" spans="1:9" ht="13">
      <c r="A18" s="3"/>
    </row>
    <row r="19" spans="1:9" ht="14.25" customHeight="1">
      <c r="A19" s="3" t="s">
        <v>1</v>
      </c>
      <c r="E19" s="11" t="s">
        <v>23</v>
      </c>
      <c r="F19" s="23" t="s">
        <v>24</v>
      </c>
      <c r="G19" s="24" t="s">
        <v>26</v>
      </c>
      <c r="H19" s="33"/>
    </row>
    <row r="20" spans="1:9" ht="14.25" customHeight="1">
      <c r="H20" s="2"/>
    </row>
    <row r="21" spans="1:9" ht="14.25" customHeight="1">
      <c r="A21" s="10"/>
      <c r="B21" s="10"/>
      <c r="C21" s="10"/>
      <c r="D21" s="10"/>
      <c r="H21" s="2"/>
    </row>
    <row r="22" spans="1:9" ht="14.25" customHeight="1">
      <c r="A22" s="45" t="s">
        <v>7</v>
      </c>
      <c r="B22" s="45" t="s">
        <v>8</v>
      </c>
      <c r="C22" s="45" t="s">
        <v>10</v>
      </c>
      <c r="D22" s="45" t="s">
        <v>25</v>
      </c>
      <c r="E22" s="45" t="s">
        <v>2</v>
      </c>
      <c r="G22" s="19"/>
      <c r="H22" s="20"/>
    </row>
    <row r="23" spans="1:9" ht="14.25" customHeight="1">
      <c r="A23" s="46" t="s">
        <v>27</v>
      </c>
      <c r="B23" s="46" t="s">
        <v>28</v>
      </c>
      <c r="C23" s="25" t="str">
        <f>A23&amp;"-"&amp;B23</f>
        <v>72NESSELK-034</v>
      </c>
      <c r="D23" s="30"/>
      <c r="E23" s="46">
        <v>402</v>
      </c>
      <c r="G23" s="21"/>
    </row>
    <row r="24" spans="1:9" ht="14.25" customHeight="1">
      <c r="A24" s="46" t="s">
        <v>29</v>
      </c>
      <c r="B24" s="46" t="s">
        <v>30</v>
      </c>
      <c r="C24" s="25" t="str">
        <f t="shared" ref="C24:C27" si="0">A24&amp;"-"&amp;B24</f>
        <v>72PAISYK-YLA</v>
      </c>
      <c r="D24" s="30"/>
      <c r="E24" s="46">
        <v>1476</v>
      </c>
      <c r="G24" s="21"/>
    </row>
    <row r="25" spans="1:9" ht="14.25" customHeight="1">
      <c r="A25" s="46" t="s">
        <v>29</v>
      </c>
      <c r="B25" s="46" t="s">
        <v>31</v>
      </c>
      <c r="C25" s="25" t="str">
        <f t="shared" si="0"/>
        <v>72PAISYK-079</v>
      </c>
      <c r="D25" s="29"/>
      <c r="E25" s="46">
        <v>792</v>
      </c>
      <c r="F25" s="44" t="s">
        <v>22</v>
      </c>
      <c r="G25" s="44"/>
      <c r="H25" s="44"/>
    </row>
    <row r="26" spans="1:9" ht="14.25" customHeight="1">
      <c r="A26" s="46" t="s">
        <v>32</v>
      </c>
      <c r="B26" s="46" t="s">
        <v>33</v>
      </c>
      <c r="C26" s="25" t="str">
        <f t="shared" si="0"/>
        <v>72LERCEYK-WHA</v>
      </c>
      <c r="D26" s="30"/>
      <c r="E26" s="46">
        <v>642</v>
      </c>
      <c r="F26" s="44"/>
      <c r="G26" s="44"/>
      <c r="H26" s="44"/>
    </row>
    <row r="27" spans="1:9" ht="14.25" customHeight="1">
      <c r="A27" s="46" t="s">
        <v>32</v>
      </c>
      <c r="B27" s="46" t="s">
        <v>34</v>
      </c>
      <c r="C27" s="25" t="str">
        <f t="shared" si="0"/>
        <v>72LERCEYK-001</v>
      </c>
      <c r="D27" s="30"/>
      <c r="E27" s="46">
        <v>276</v>
      </c>
      <c r="F27" s="44"/>
      <c r="G27" s="44"/>
      <c r="H27" s="44"/>
    </row>
    <row r="28" spans="1:9" ht="15" customHeight="1">
      <c r="A28" s="25"/>
      <c r="B28" s="26"/>
      <c r="C28" s="25"/>
      <c r="D28" s="30"/>
      <c r="E28" s="31"/>
      <c r="F28" s="44"/>
      <c r="G28" s="44"/>
      <c r="H28" s="44"/>
    </row>
    <row r="29" spans="1:9">
      <c r="A29" s="25"/>
      <c r="B29" s="26"/>
      <c r="C29" s="25"/>
      <c r="D29" s="37"/>
      <c r="E29" s="37"/>
      <c r="F29" s="44"/>
      <c r="G29" s="44"/>
      <c r="H29" s="44"/>
    </row>
    <row r="30" spans="1:9" ht="14.5">
      <c r="A30" s="34"/>
      <c r="B30" s="34"/>
      <c r="C30" s="34"/>
      <c r="D30" s="34"/>
      <c r="E30" s="34"/>
      <c r="H30" s="21"/>
      <c r="I30" s="22"/>
    </row>
    <row r="31" spans="1:9" ht="14.5">
      <c r="A31" s="34"/>
      <c r="B31" s="34"/>
      <c r="C31" s="34"/>
      <c r="D31" s="34"/>
      <c r="E31" s="34"/>
      <c r="H31" s="21"/>
      <c r="I31" s="22"/>
    </row>
    <row r="32" spans="1:9" ht="14.5">
      <c r="A32" s="34"/>
      <c r="B32" s="34"/>
      <c r="C32" s="34"/>
      <c r="D32" s="34"/>
      <c r="E32" s="34"/>
      <c r="H32" s="21"/>
      <c r="I32" s="22"/>
    </row>
    <row r="33" spans="1:9" s="9" customFormat="1" ht="15.5">
      <c r="A33" s="35"/>
      <c r="B33" s="35"/>
      <c r="C33" s="35"/>
      <c r="D33" s="35"/>
      <c r="E33" s="35"/>
      <c r="H33" s="21"/>
      <c r="I33" s="22"/>
    </row>
    <row r="34" spans="1:9" ht="14.5">
      <c r="A34" s="34"/>
      <c r="B34" s="34"/>
      <c r="C34" s="34"/>
      <c r="D34" s="34"/>
      <c r="E34" s="34"/>
      <c r="H34" s="21"/>
      <c r="I34" s="22"/>
    </row>
    <row r="35" spans="1:9" ht="14.5">
      <c r="A35" s="8"/>
      <c r="B35" s="27"/>
      <c r="C35" s="25"/>
      <c r="D35" s="8"/>
      <c r="E35" s="7"/>
      <c r="F35" s="22"/>
      <c r="H35" s="21"/>
      <c r="I35" s="22"/>
    </row>
    <row r="36" spans="1:9" ht="14.5">
      <c r="A36" s="8"/>
      <c r="B36" s="27"/>
      <c r="C36" s="8"/>
      <c r="D36" s="8"/>
      <c r="E36" s="7"/>
      <c r="F36" s="22"/>
      <c r="H36" s="21"/>
      <c r="I36" s="22"/>
    </row>
    <row r="37" spans="1:9" ht="15" thickBot="1">
      <c r="A37" s="8"/>
      <c r="B37" s="27"/>
      <c r="C37" s="13"/>
      <c r="D37" s="13"/>
      <c r="E37" s="12"/>
      <c r="F37" s="22"/>
      <c r="H37" s="21"/>
      <c r="I37" s="22"/>
    </row>
    <row r="38" spans="1:9" ht="15" thickBot="1">
      <c r="B38" s="28" t="s">
        <v>5</v>
      </c>
      <c r="C38" s="14"/>
      <c r="D38" s="14"/>
      <c r="E38" s="36">
        <f>SUM(E22:E29)</f>
        <v>3588</v>
      </c>
      <c r="F38" s="32"/>
      <c r="H38" s="19"/>
    </row>
    <row r="40" spans="1:9" ht="22.5">
      <c r="A40" s="41" t="s">
        <v>12</v>
      </c>
      <c r="B40" s="41"/>
      <c r="C40" s="41"/>
      <c r="D40" s="41"/>
      <c r="E40" s="41"/>
      <c r="F40" s="41"/>
      <c r="G40" s="41"/>
      <c r="H40" s="41"/>
    </row>
    <row r="41" spans="1:9" ht="22.5">
      <c r="A41" s="42" t="s">
        <v>20</v>
      </c>
      <c r="B41" s="42"/>
      <c r="C41" s="42"/>
      <c r="D41" s="42"/>
      <c r="E41" s="42"/>
      <c r="F41" s="42"/>
      <c r="G41" s="42"/>
      <c r="H41" s="42"/>
    </row>
    <row r="43" spans="1:9">
      <c r="A43" s="18" t="s">
        <v>13</v>
      </c>
    </row>
    <row r="44" spans="1:9">
      <c r="A44" t="s">
        <v>14</v>
      </c>
    </row>
    <row r="45" spans="1:9">
      <c r="A45" t="s">
        <v>15</v>
      </c>
    </row>
    <row r="46" spans="1:9">
      <c r="A46" t="s">
        <v>16</v>
      </c>
    </row>
    <row r="47" spans="1:9">
      <c r="A47" t="s">
        <v>17</v>
      </c>
    </row>
    <row r="48" spans="1:9">
      <c r="A48" t="s">
        <v>18</v>
      </c>
    </row>
    <row r="49" spans="1:15">
      <c r="A49" t="s">
        <v>19</v>
      </c>
    </row>
    <row r="51" spans="1:15" ht="20">
      <c r="A51" s="43" t="s">
        <v>21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</row>
    <row r="52" spans="1:15">
      <c r="A52" s="17"/>
      <c r="B52" s="17"/>
      <c r="C52" s="17"/>
      <c r="D52" s="17"/>
      <c r="E52" s="17"/>
      <c r="F52" s="17"/>
      <c r="G52" s="17"/>
      <c r="H52" s="17"/>
      <c r="I52" s="17"/>
    </row>
  </sheetData>
  <mergeCells count="6">
    <mergeCell ref="A11:H11"/>
    <mergeCell ref="A2:I2"/>
    <mergeCell ref="A40:H40"/>
    <mergeCell ref="A41:H41"/>
    <mergeCell ref="A51:O51"/>
    <mergeCell ref="F25:H29"/>
  </mergeCells>
  <phoneticPr fontId="9" type="noConversion"/>
  <pageMargins left="0.75" right="0.75" top="1" bottom="1" header="0.5" footer="0.5"/>
  <pageSetup scale="61" orientation="portrait" r:id="rId1"/>
  <headerFooter alignWithMargins="0"/>
  <ignoredErrors>
    <ignoredError sqref="B23:B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/>
  <sheetData/>
  <phoneticPr fontId="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/>
  <sheetData/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 LIST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2019-07-25T16:00:35Z</cp:lastPrinted>
  <dcterms:created xsi:type="dcterms:W3CDTF">2014-07-10T16:49:27Z</dcterms:created>
  <dcterms:modified xsi:type="dcterms:W3CDTF">2026-05-11T18:58:30Z</dcterms:modified>
</cp:coreProperties>
</file>