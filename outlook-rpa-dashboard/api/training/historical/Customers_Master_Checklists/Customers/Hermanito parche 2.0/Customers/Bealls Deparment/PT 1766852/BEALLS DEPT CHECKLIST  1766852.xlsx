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Deparment/PT 1766754/"/>
    </mc:Choice>
  </mc:AlternateContent>
  <xr:revisionPtr revIDLastSave="286" documentId="13_ncr:1_{C207F19B-E18E-4A68-BB87-2A1A71D5249B}" xr6:coauthVersionLast="47" xr6:coauthVersionMax="47" xr10:uidLastSave="{B5252B61-1D7E-4045-9486-B233BFA8947B}"/>
  <bookViews>
    <workbookView xWindow="57480" yWindow="-4485" windowWidth="29040" windowHeight="17520" xr2:uid="{00000000-000D-0000-FFFF-FFFF00000000}"/>
  </bookViews>
  <sheets>
    <sheet name="Sheet1" sheetId="1" r:id="rId1"/>
    <sheet name="Sheet5" sheetId="5" r:id="rId2"/>
    <sheet name="Sheet4" sheetId="4" r:id="rId3"/>
    <sheet name="Sheet2" sheetId="2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0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91" i="1"/>
  <c r="B92" i="1"/>
  <c r="C92" i="1"/>
  <c r="F92" i="1"/>
  <c r="B98" i="1"/>
  <c r="B99" i="1"/>
  <c r="B100" i="1"/>
  <c r="C102" i="1"/>
  <c r="A83" i="1"/>
  <c r="C101" i="1" l="1"/>
</calcChain>
</file>

<file path=xl/sharedStrings.xml><?xml version="1.0" encoding="utf-8"?>
<sst xmlns="http://schemas.openxmlformats.org/spreadsheetml/2006/main" count="118" uniqueCount="77">
  <si>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</si>
  <si>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</si>
  <si>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</si>
  <si>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</si>
  <si>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</si>
  <si>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</si>
  <si>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</si>
  <si>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</si>
  <si>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</si>
  <si>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</si>
  <si>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</si>
  <si>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</si>
  <si>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</si>
  <si>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</si>
  <si>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</si>
  <si>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</si>
  <si>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</si>
  <si>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</si>
  <si>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</si>
  <si>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</si>
  <si>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</si>
  <si>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</si>
  <si>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</si>
  <si>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</si>
  <si>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</si>
  <si>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</si>
  <si>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</si>
  <si>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</si>
  <si>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</si>
  <si>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</si>
  <si>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</si>
  <si>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</si>
  <si>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TRACKING NUMBER:</t>
  </si>
  <si>
    <t>SKU/ UPC</t>
  </si>
  <si>
    <t>PT</t>
  </si>
  <si>
    <t xml:space="preserve">PO </t>
  </si>
  <si>
    <t>Make sure we are not covering the scannable barcode</t>
  </si>
  <si>
    <t>TICKETS</t>
  </si>
  <si>
    <t>IF YES TRACKING</t>
  </si>
  <si>
    <t>SIZE</t>
  </si>
  <si>
    <t>PO</t>
  </si>
  <si>
    <t>MANDY96T-WHA</t>
  </si>
  <si>
    <t>RETAIL PRICE</t>
  </si>
  <si>
    <t>SKU</t>
  </si>
  <si>
    <t>BEALLS DEPT STORES</t>
  </si>
  <si>
    <t>UCC LABELS NEEDED</t>
  </si>
  <si>
    <t xml:space="preserve">TICKETS MADE IN HOUSE </t>
  </si>
  <si>
    <t>SEE BELOW</t>
  </si>
  <si>
    <t>AB1</t>
  </si>
  <si>
    <t>AB2</t>
  </si>
  <si>
    <t>AMB</t>
  </si>
  <si>
    <t>BIN1272-42</t>
  </si>
  <si>
    <t>BIN1274-42</t>
  </si>
  <si>
    <t>Compare price</t>
  </si>
  <si>
    <t>SUB STYLE</t>
  </si>
  <si>
    <t>EH324</t>
  </si>
  <si>
    <t>0ML</t>
  </si>
  <si>
    <t>EH325</t>
  </si>
  <si>
    <t>01M</t>
  </si>
  <si>
    <t>EH326</t>
  </si>
  <si>
    <t>003</t>
  </si>
  <si>
    <t>EH329</t>
  </si>
  <si>
    <t>EH330</t>
  </si>
  <si>
    <t>EH331</t>
  </si>
  <si>
    <t>EH332</t>
  </si>
  <si>
    <t>009</t>
  </si>
  <si>
    <t>EH333</t>
  </si>
  <si>
    <t>1930901</t>
  </si>
  <si>
    <t>MULTI</t>
  </si>
  <si>
    <t>60X70 EH LEOPARD FLASH</t>
  </si>
  <si>
    <t>60X70 EH BUTTERFLY SKULLS</t>
  </si>
  <si>
    <t>60X70 EH CROUCHING TIGER</t>
  </si>
  <si>
    <t>60X70 EH SKULLS AND BOWS</t>
  </si>
  <si>
    <t>60X70 EH SKULLS AND ROSES</t>
  </si>
  <si>
    <t>60X70 EH PNK CHECK SKULLS</t>
  </si>
  <si>
    <t>60X70 EH MEGA FLASH</t>
  </si>
  <si>
    <t>60X70 EH CHECK SKULLS AND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</si>
</sst>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000"/>
    <numFmt numFmtId="166" formatCode="0000"/>
    <numFmt numFmtId="167" formatCode="_-[$$-409]* #,##0.00_ ;_-[$$-409]* \-#,##0.00\ ;_-[$$-409]* &quot;-&quot;??_ ;_-@_ "/>
    <numFmt numFmtId="168" formatCode="&quot;$&quot;#,##0.00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  <xf numFmtId="164" fontId="33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0" applyFont="1"/>
    <xf numFmtId="0" fontId="5" fillId="0" borderId="0" xfId="0" applyFont="1"/>
    <xf numFmtId="0" fontId="0" fillId="2" borderId="0" xfId="0" applyFill="1"/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0" fillId="3" borderId="3" xfId="0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20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21" fillId="4" borderId="0" xfId="0" applyFont="1" applyFill="1" applyAlignment="1">
      <alignment horizontal="center"/>
    </xf>
    <xf numFmtId="0" fontId="16" fillId="0" borderId="4" xfId="0" applyFont="1" applyBorder="1"/>
    <xf numFmtId="0" fontId="17" fillId="0" borderId="8" xfId="0" applyFont="1" applyBorder="1"/>
    <xf numFmtId="0" fontId="16" fillId="0" borderId="8" xfId="0" applyFont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3" fillId="0" borderId="8" xfId="0" applyFont="1" applyBorder="1" applyAlignment="1">
      <alignment horizontal="left"/>
    </xf>
    <xf numFmtId="0" fontId="0" fillId="0" borderId="7" xfId="0" applyBorder="1"/>
    <xf numFmtId="0" fontId="24" fillId="2" borderId="0" xfId="0" applyFont="1" applyFill="1"/>
    <xf numFmtId="0" fontId="25" fillId="2" borderId="0" xfId="0" applyFont="1" applyFill="1"/>
    <xf numFmtId="0" fontId="18" fillId="3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8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166" fontId="0" fillId="3" borderId="11" xfId="0" applyNumberFormat="1" applyFill="1" applyBorder="1" applyAlignment="1">
      <alignment horizontal="center"/>
    </xf>
    <xf numFmtId="0" fontId="27" fillId="9" borderId="8" xfId="0" applyFont="1" applyFill="1" applyBorder="1" applyAlignment="1">
      <alignment horizontal="center" wrapText="1"/>
    </xf>
    <xf numFmtId="0" fontId="0" fillId="6" borderId="0" xfId="0" applyFill="1"/>
    <xf numFmtId="0" fontId="28" fillId="0" borderId="0" xfId="1"/>
    <xf numFmtId="0" fontId="0" fillId="7" borderId="11" xfId="0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9" fillId="6" borderId="0" xfId="0" applyFont="1" applyFill="1"/>
    <xf numFmtId="0" fontId="18" fillId="5" borderId="18" xfId="0" applyFont="1" applyFill="1" applyBorder="1" applyAlignment="1">
      <alignment horizontal="center"/>
    </xf>
    <xf numFmtId="0" fontId="28" fillId="11" borderId="11" xfId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24" fillId="2" borderId="0" xfId="0" applyFont="1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" fontId="9" fillId="3" borderId="0" xfId="0" applyNumberFormat="1" applyFont="1" applyFill="1" applyAlignment="1">
      <alignment horizontal="center"/>
    </xf>
    <xf numFmtId="0" fontId="0" fillId="3" borderId="4" xfId="0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65" fontId="10" fillId="4" borderId="0" xfId="0" applyNumberFormat="1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8" fillId="8" borderId="11" xfId="0" applyFont="1" applyFill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/>
    <xf numFmtId="0" fontId="2" fillId="7" borderId="1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6" borderId="11" xfId="0" applyFont="1" applyFill="1" applyBorder="1" applyAlignment="1">
      <alignment horizontal="center" vertical="center"/>
    </xf>
    <xf numFmtId="49" fontId="2" fillId="6" borderId="11" xfId="0" quotePrefix="1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1" xfId="0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167" fontId="32" fillId="0" borderId="11" xfId="0" applyNumberFormat="1" applyFont="1" applyBorder="1" applyAlignment="1">
      <alignment horizontal="center" vertical="center"/>
    </xf>
    <xf numFmtId="0" fontId="2" fillId="7" borderId="0" xfId="0" applyFont="1" applyFill="1"/>
    <xf numFmtId="0" fontId="28" fillId="7" borderId="11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2" fillId="0" borderId="0" xfId="0" applyFont="1" applyAlignment="1">
      <alignment horizontal="center"/>
    </xf>
    <xf numFmtId="0" fontId="18" fillId="12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164" fontId="0" fillId="0" borderId="0" xfId="3" applyFont="1" applyBorder="1" applyAlignment="1">
      <alignment horizontal="center" vertical="center"/>
    </xf>
    <xf numFmtId="0" fontId="18" fillId="8" borderId="20" xfId="0" applyFont="1" applyFill="1" applyBorder="1" applyAlignment="1">
      <alignment horizontal="center" vertical="center"/>
    </xf>
    <xf numFmtId="0" fontId="18" fillId="8" borderId="20" xfId="0" applyFont="1" applyFill="1" applyBorder="1" applyAlignment="1">
      <alignment horizontal="center"/>
    </xf>
    <xf numFmtId="0" fontId="0" fillId="0" borderId="20" xfId="0" applyBorder="1" applyAlignment="1">
      <alignment vertical="center"/>
    </xf>
    <xf numFmtId="164" fontId="2" fillId="0" borderId="11" xfId="3" applyFont="1" applyBorder="1" applyAlignment="1">
      <alignment horizontal="center" vertical="center"/>
    </xf>
    <xf numFmtId="0" fontId="31" fillId="0" borderId="11" xfId="0" applyFont="1" applyBorder="1" applyAlignment="1">
      <alignment horizontal="center"/>
    </xf>
    <xf numFmtId="1" fontId="0" fillId="0" borderId="11" xfId="0" applyNumberForma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2" fillId="6" borderId="11" xfId="0" quotePrefix="1" applyFont="1" applyFill="1" applyBorder="1" applyAlignment="1">
      <alignment horizontal="center" vertical="center"/>
    </xf>
    <xf numFmtId="168" fontId="2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7" borderId="11" xfId="0" applyFont="1" applyFill="1" applyBorder="1" applyAlignment="1">
      <alignment horizontal="center"/>
    </xf>
    <xf numFmtId="0" fontId="24" fillId="10" borderId="12" xfId="0" applyFont="1" applyFill="1" applyBorder="1" applyAlignment="1">
      <alignment horizontal="center"/>
    </xf>
    <xf numFmtId="0" fontId="24" fillId="10" borderId="15" xfId="0" applyFont="1" applyFill="1" applyBorder="1" applyAlignment="1">
      <alignment horizontal="center"/>
    </xf>
    <xf numFmtId="0" fontId="24" fillId="10" borderId="13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</cellXfs>
  <cellStyles count="4">
    <cellStyle name="Currency" xfId="3" builtinId="4"/>
    <cellStyle name="Currency 10 2 2 2" xfId="2" xr:uid="{FBA89279-F676-4240-9BB7-66E6373A5983}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146050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146050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tabSelected="1" topLeftCell="F1" zoomScale="85" zoomScaleNormal="85" workbookViewId="0">
      <selection activeCell="K36" sqref="K36"/>
    </sheetView>
  </sheetViews>
  <sheetFormatPr defaultColWidth="8.81640625" defaultRowHeight="12.5" x14ac:dyDescent="0.25"/>
  <cols>
    <col min="1" max="1" width="15.81640625" style="31" customWidth="1"/>
    <col min="2" max="2" width="22.81640625" style="31" customWidth="1"/>
    <col min="3" max="4" width="16" style="31" customWidth="1"/>
    <col min="5" max="5" width="27.26953125" style="31" bestFit="1" customWidth="1"/>
    <col min="6" max="6" width="25" style="31" bestFit="1" customWidth="1"/>
    <col min="7" max="7" width="26.54296875" style="31" customWidth="1"/>
    <col min="8" max="8" width="45.81640625" style="31" bestFit="1" customWidth="1"/>
    <col min="9" max="9" width="22.453125" style="31" bestFit="1" customWidth="1"/>
    <col min="10" max="14" width="17.7265625" style="31" customWidth="1"/>
    <col min="15" max="15" width="23.453125" style="31" bestFit="1" customWidth="1"/>
    <col min="16" max="16" width="25.453125" style="79" customWidth="1"/>
    <col min="17" max="17" width="16.81640625" customWidth="1"/>
    <col min="19" max="19" width="16.81640625" bestFit="1" customWidth="1"/>
    <col min="20" max="20" width="21.7265625" customWidth="1"/>
  </cols>
  <sheetData>
    <row r="1" spans="1:19" ht="13" thickBot="1" x14ac:dyDescent="0.3">
      <c r="A1"/>
      <c r="B1"/>
      <c r="C1" s="17"/>
      <c r="D1" s="17"/>
      <c r="E1"/>
      <c r="F1"/>
      <c r="G1"/>
      <c r="H1"/>
      <c r="I1"/>
      <c r="J1"/>
      <c r="K1"/>
      <c r="L1"/>
      <c r="M1"/>
      <c r="N1"/>
      <c r="O1"/>
      <c r="P1"/>
    </row>
    <row r="2" spans="1:19" ht="23.5" thickBot="1" x14ac:dyDescent="0.55000000000000004">
      <c r="A2"/>
      <c r="B2"/>
      <c r="C2" s="17"/>
      <c r="D2" s="17"/>
      <c r="E2"/>
      <c r="F2" s="103" t="s">
        <v>44</v>
      </c>
      <c r="G2" s="104"/>
      <c r="H2" s="105"/>
      <c r="I2"/>
      <c r="J2"/>
      <c r="K2"/>
      <c r="L2"/>
      <c r="M2"/>
      <c r="N2"/>
      <c r="O2"/>
      <c r="P2"/>
    </row>
    <row r="3" spans="1:19" ht="23.5" thickBot="1" x14ac:dyDescent="0.55000000000000004">
      <c r="A3"/>
      <c r="B3"/>
      <c r="C3" s="17"/>
      <c r="D3" s="17"/>
      <c r="E3"/>
      <c r="F3"/>
      <c r="G3"/>
      <c r="H3"/>
      <c r="I3"/>
      <c r="J3" s="103" t="s">
        <v>45</v>
      </c>
      <c r="K3" s="104"/>
      <c r="L3" s="105"/>
      <c r="M3"/>
      <c r="N3"/>
      <c r="O3"/>
      <c r="P3"/>
    </row>
    <row r="4" spans="1:19" ht="18" x14ac:dyDescent="0.4">
      <c r="A4" s="1" t="s">
        <v>0</v>
      </c>
      <c r="B4"/>
      <c r="C4" s="17"/>
      <c r="D4" s="17"/>
      <c r="E4" s="77" t="s">
        <v>47</v>
      </c>
      <c r="F4"/>
      <c r="G4"/>
      <c r="H4"/>
      <c r="I4"/>
      <c r="J4"/>
      <c r="K4"/>
      <c r="L4"/>
      <c r="M4"/>
      <c r="N4"/>
      <c r="O4"/>
      <c r="P4"/>
    </row>
    <row r="5" spans="1:19" ht="15.5" x14ac:dyDescent="0.25">
      <c r="A5"/>
      <c r="B5"/>
      <c r="C5" s="17"/>
      <c r="D5" s="17"/>
      <c r="E5" s="77" t="s">
        <v>47</v>
      </c>
      <c r="F5"/>
      <c r="G5"/>
      <c r="H5"/>
      <c r="I5"/>
      <c r="J5"/>
      <c r="K5"/>
      <c r="L5"/>
      <c r="M5"/>
      <c r="N5"/>
      <c r="O5"/>
      <c r="P5"/>
    </row>
    <row r="6" spans="1:19" x14ac:dyDescent="0.25">
      <c r="A6"/>
      <c r="B6"/>
      <c r="C6" s="17"/>
      <c r="D6" s="17"/>
      <c r="E6"/>
      <c r="F6"/>
      <c r="G6"/>
      <c r="H6"/>
      <c r="I6"/>
      <c r="J6"/>
      <c r="K6"/>
      <c r="L6"/>
      <c r="M6"/>
      <c r="N6"/>
      <c r="O6"/>
      <c r="P6"/>
    </row>
    <row r="7" spans="1:19" ht="20" x14ac:dyDescent="0.4">
      <c r="A7" s="39" t="s">
        <v>1</v>
      </c>
      <c r="B7"/>
      <c r="C7" s="106" t="s">
        <v>32</v>
      </c>
      <c r="D7" s="107"/>
      <c r="E7" s="108"/>
      <c r="F7" s="40" t="s">
        <v>46</v>
      </c>
      <c r="G7" s="43" t="s">
        <v>36</v>
      </c>
      <c r="H7" s="43"/>
      <c r="I7" s="43"/>
      <c r="J7" s="39"/>
      <c r="K7" s="39"/>
      <c r="L7"/>
      <c r="M7"/>
      <c r="N7"/>
      <c r="O7"/>
      <c r="P7"/>
    </row>
    <row r="8" spans="1:19" ht="14" x14ac:dyDescent="0.3">
      <c r="A8"/>
      <c r="B8"/>
      <c r="C8" s="17"/>
      <c r="D8" s="17"/>
      <c r="E8" s="2"/>
      <c r="F8" s="2"/>
      <c r="G8" s="2"/>
      <c r="H8"/>
      <c r="I8"/>
      <c r="J8"/>
      <c r="K8"/>
      <c r="L8"/>
      <c r="M8"/>
      <c r="N8"/>
      <c r="O8"/>
      <c r="P8"/>
    </row>
    <row r="9" spans="1:19" ht="14" x14ac:dyDescent="0.3">
      <c r="A9"/>
      <c r="B9"/>
      <c r="C9" s="17"/>
      <c r="D9" s="17"/>
      <c r="E9" s="2"/>
      <c r="F9" s="2"/>
      <c r="G9" s="2"/>
      <c r="H9"/>
      <c r="I9"/>
      <c r="J9"/>
      <c r="K9"/>
      <c r="L9"/>
      <c r="M9"/>
      <c r="N9"/>
      <c r="O9"/>
      <c r="P9"/>
    </row>
    <row r="10" spans="1:19" ht="20" x14ac:dyDescent="0.4">
      <c r="A10" t="s">
        <v>2</v>
      </c>
      <c r="B10"/>
      <c r="C10" s="18" t="s">
        <v>5</v>
      </c>
      <c r="D10" s="18"/>
      <c r="E10" s="2" t="s">
        <v>2</v>
      </c>
      <c r="F10"/>
      <c r="G10"/>
      <c r="H10"/>
      <c r="I10"/>
      <c r="J10"/>
      <c r="K10"/>
      <c r="L10"/>
      <c r="M10"/>
      <c r="N10"/>
      <c r="O10"/>
      <c r="P10"/>
    </row>
    <row r="11" spans="1:19" x14ac:dyDescent="0.25">
      <c r="A11"/>
      <c r="B11"/>
      <c r="C11" s="17"/>
      <c r="D11" s="17"/>
      <c r="E11"/>
      <c r="F11"/>
      <c r="G11"/>
      <c r="H11"/>
      <c r="I11"/>
      <c r="J11"/>
      <c r="K11"/>
      <c r="L11"/>
      <c r="M11"/>
      <c r="N11"/>
      <c r="O11"/>
      <c r="P11"/>
    </row>
    <row r="12" spans="1:19" ht="18" x14ac:dyDescent="0.4">
      <c r="A12"/>
      <c r="B12"/>
      <c r="C12" s="19"/>
      <c r="D12" s="19"/>
      <c r="E12"/>
      <c r="F12"/>
      <c r="G12"/>
      <c r="H12"/>
      <c r="I12"/>
      <c r="J12"/>
      <c r="K12"/>
      <c r="L12"/>
      <c r="M12"/>
      <c r="N12"/>
      <c r="O12"/>
      <c r="P12"/>
    </row>
    <row r="13" spans="1:19" ht="13" thickBot="1" x14ac:dyDescent="0.3">
      <c r="A13"/>
      <c r="B13"/>
      <c r="C13" s="17"/>
      <c r="D13" s="17"/>
      <c r="E13"/>
      <c r="F13"/>
      <c r="G13"/>
      <c r="H13"/>
      <c r="I13"/>
      <c r="J13"/>
      <c r="K13"/>
      <c r="L13"/>
      <c r="M13"/>
      <c r="N13"/>
      <c r="O13"/>
      <c r="P13"/>
    </row>
    <row r="14" spans="1:19" ht="14.25" hidden="1" customHeight="1" x14ac:dyDescent="0.25">
      <c r="A14"/>
      <c r="B14"/>
      <c r="C14" s="17"/>
      <c r="D14" s="17"/>
      <c r="E14"/>
      <c r="F14"/>
      <c r="G14"/>
      <c r="H14"/>
      <c r="I14"/>
      <c r="J14"/>
      <c r="K14"/>
      <c r="L14"/>
      <c r="M14"/>
      <c r="N14"/>
      <c r="O14"/>
      <c r="P14"/>
    </row>
    <row r="15" spans="1:19" ht="33" hidden="1" customHeight="1" x14ac:dyDescent="0.65">
      <c r="A15" s="6" t="s">
        <v>3</v>
      </c>
      <c r="B15"/>
      <c r="C15" s="20"/>
      <c r="D15" s="20"/>
      <c r="E15"/>
      <c r="F15" s="8"/>
      <c r="G15" s="9"/>
      <c r="H15" s="10"/>
      <c r="I15" s="10"/>
      <c r="J15" s="10"/>
      <c r="K15" s="10"/>
      <c r="L15" s="10"/>
      <c r="M15" s="10"/>
      <c r="N15" s="10"/>
      <c r="O15" s="10"/>
      <c r="P15" s="9"/>
      <c r="Q15" s="9"/>
      <c r="R15" s="9"/>
      <c r="S15" s="9"/>
    </row>
    <row r="16" spans="1:19" ht="33" hidden="1" customHeight="1" x14ac:dyDescent="0.65">
      <c r="A16"/>
      <c r="B16"/>
      <c r="C16" s="17"/>
      <c r="D16" s="17"/>
      <c r="E16"/>
      <c r="F16" s="8"/>
      <c r="G16" s="9"/>
      <c r="H16" s="10"/>
      <c r="I16" s="10"/>
      <c r="J16" s="10"/>
      <c r="K16" s="10"/>
      <c r="L16" s="10"/>
      <c r="M16" s="10"/>
      <c r="N16" s="10"/>
      <c r="O16" s="10"/>
      <c r="P16" s="9"/>
      <c r="Q16" s="9"/>
      <c r="R16" s="9"/>
      <c r="S16" s="9"/>
    </row>
    <row r="17" spans="1:16" ht="24" hidden="1" customHeight="1" thickBot="1" x14ac:dyDescent="0.55000000000000004">
      <c r="A17" s="5"/>
      <c r="B17" s="4"/>
      <c r="C17" s="23" t="s">
        <v>23</v>
      </c>
      <c r="D17" s="23"/>
      <c r="E17" s="24"/>
      <c r="F17" s="24"/>
      <c r="G17" s="3"/>
      <c r="H17"/>
      <c r="I17"/>
      <c r="J17"/>
      <c r="K17"/>
      <c r="L17"/>
      <c r="M17"/>
      <c r="N17"/>
      <c r="O17"/>
      <c r="P17"/>
    </row>
    <row r="18" spans="1:16" ht="32.5" x14ac:dyDescent="0.65">
      <c r="A18" s="14"/>
      <c r="B18" s="21" t="s">
        <v>10</v>
      </c>
      <c r="C18" s="15"/>
      <c r="D18" s="15"/>
      <c r="E18" s="15"/>
      <c r="F18" s="16"/>
      <c r="G18" s="16"/>
      <c r="H18" s="16"/>
      <c r="I18" s="38" t="s">
        <v>31</v>
      </c>
      <c r="J18" s="15"/>
      <c r="K18" s="15"/>
      <c r="L18" s="15"/>
      <c r="M18" s="15"/>
      <c r="N18" s="15"/>
      <c r="O18" s="15"/>
      <c r="P18" s="22"/>
    </row>
    <row r="19" spans="1:16" ht="13" x14ac:dyDescent="0.3">
      <c r="A19" s="93"/>
      <c r="B19" s="91" t="s">
        <v>54</v>
      </c>
      <c r="C19" s="91" t="s">
        <v>20</v>
      </c>
      <c r="D19" s="91" t="s">
        <v>43</v>
      </c>
      <c r="E19" s="91" t="s">
        <v>15</v>
      </c>
      <c r="F19" s="91" t="s">
        <v>21</v>
      </c>
      <c r="G19" s="91" t="s">
        <v>17</v>
      </c>
      <c r="H19" s="91" t="s">
        <v>18</v>
      </c>
      <c r="I19" s="91" t="s">
        <v>33</v>
      </c>
      <c r="J19" s="91" t="s">
        <v>16</v>
      </c>
      <c r="K19" s="91" t="s">
        <v>42</v>
      </c>
      <c r="L19" s="91" t="s">
        <v>34</v>
      </c>
      <c r="M19" s="91" t="s">
        <v>35</v>
      </c>
      <c r="N19" s="92" t="s">
        <v>37</v>
      </c>
      <c r="O19" s="92" t="s">
        <v>38</v>
      </c>
      <c r="P19" s="92" t="s">
        <v>22</v>
      </c>
    </row>
    <row r="20" spans="1:16" s="71" customFormat="1" ht="13.5" customHeight="1" x14ac:dyDescent="0.35">
      <c r="A20" s="70">
        <v>1</v>
      </c>
      <c r="B20" s="30" t="s">
        <v>55</v>
      </c>
      <c r="C20" s="30" t="s">
        <v>56</v>
      </c>
      <c r="D20" s="26">
        <v>845746</v>
      </c>
      <c r="E20" s="70" t="str">
        <f>B20&amp;"-"&amp;C20</f>
        <v>EH324-0ML</v>
      </c>
      <c r="F20" s="26" t="s">
        <v>55</v>
      </c>
      <c r="G20" s="70" t="s">
        <v>68</v>
      </c>
      <c r="H20" s="69" t="s">
        <v>69</v>
      </c>
      <c r="I20" s="97"/>
      <c r="J20" s="30">
        <v>136</v>
      </c>
      <c r="K20" s="99"/>
      <c r="L20" s="26">
        <v>1766852</v>
      </c>
      <c r="M20" s="95" t="s">
        <v>67</v>
      </c>
      <c r="N20" s="26"/>
      <c r="O20" s="45"/>
      <c r="P20" s="98">
        <v>845</v>
      </c>
    </row>
    <row r="21" spans="1:16" s="71" customFormat="1" ht="13.5" customHeight="1" x14ac:dyDescent="0.35">
      <c r="A21" s="70">
        <v>2</v>
      </c>
      <c r="B21" s="30" t="s">
        <v>57</v>
      </c>
      <c r="C21" s="30" t="s">
        <v>58</v>
      </c>
      <c r="D21" s="26">
        <v>845758</v>
      </c>
      <c r="E21" s="70" t="str">
        <f t="shared" ref="E21:E27" si="0">B21&amp;"-"&amp;C21</f>
        <v>EH325-01M</v>
      </c>
      <c r="F21" s="26" t="s">
        <v>57</v>
      </c>
      <c r="G21" s="70" t="s">
        <v>68</v>
      </c>
      <c r="H21" s="70" t="s">
        <v>70</v>
      </c>
      <c r="I21" s="96"/>
      <c r="J21" s="30">
        <v>136</v>
      </c>
      <c r="K21" s="94"/>
      <c r="L21" s="26">
        <v>1766852</v>
      </c>
      <c r="M21" s="95" t="s">
        <v>67</v>
      </c>
      <c r="N21" s="70"/>
      <c r="O21" s="45"/>
      <c r="P21" s="98">
        <v>845</v>
      </c>
    </row>
    <row r="22" spans="1:16" s="71" customFormat="1" ht="13.5" customHeight="1" x14ac:dyDescent="0.35">
      <c r="A22" s="70">
        <v>3</v>
      </c>
      <c r="B22" s="30" t="s">
        <v>59</v>
      </c>
      <c r="C22" s="30" t="s">
        <v>60</v>
      </c>
      <c r="D22" s="26">
        <v>845760</v>
      </c>
      <c r="E22" s="70" t="str">
        <f t="shared" si="0"/>
        <v>EH326-003</v>
      </c>
      <c r="F22" s="26" t="s">
        <v>59</v>
      </c>
      <c r="G22" s="70" t="s">
        <v>68</v>
      </c>
      <c r="H22" s="70" t="s">
        <v>71</v>
      </c>
      <c r="I22" s="80"/>
      <c r="J22" s="30">
        <v>136</v>
      </c>
      <c r="K22" s="94"/>
      <c r="L22" s="26">
        <v>1766852</v>
      </c>
      <c r="M22" s="95" t="s">
        <v>67</v>
      </c>
      <c r="N22" s="70"/>
      <c r="O22" s="45"/>
      <c r="P22" s="98">
        <v>845</v>
      </c>
    </row>
    <row r="23" spans="1:16" s="71" customFormat="1" ht="13.5" customHeight="1" x14ac:dyDescent="0.35">
      <c r="A23" s="70">
        <v>4</v>
      </c>
      <c r="B23" s="30" t="s">
        <v>61</v>
      </c>
      <c r="C23" s="30" t="s">
        <v>56</v>
      </c>
      <c r="D23" s="26">
        <v>845773</v>
      </c>
      <c r="E23" s="70" t="str">
        <f t="shared" si="0"/>
        <v>EH329-0ML</v>
      </c>
      <c r="F23" s="26" t="s">
        <v>61</v>
      </c>
      <c r="G23" s="70" t="s">
        <v>68</v>
      </c>
      <c r="H23" s="70" t="s">
        <v>72</v>
      </c>
      <c r="I23" s="80"/>
      <c r="J23" s="30">
        <v>136</v>
      </c>
      <c r="K23" s="94"/>
      <c r="L23" s="26">
        <v>1766852</v>
      </c>
      <c r="M23" s="95" t="s">
        <v>67</v>
      </c>
      <c r="N23" s="70"/>
      <c r="O23" s="45"/>
      <c r="P23" s="98">
        <v>845</v>
      </c>
    </row>
    <row r="24" spans="1:16" s="71" customFormat="1" ht="13.5" customHeight="1" x14ac:dyDescent="0.35">
      <c r="A24" s="70">
        <v>5</v>
      </c>
      <c r="B24" s="30" t="s">
        <v>62</v>
      </c>
      <c r="C24" s="30" t="s">
        <v>56</v>
      </c>
      <c r="D24" s="26">
        <v>845785</v>
      </c>
      <c r="E24" s="70" t="str">
        <f t="shared" si="0"/>
        <v>EH330-0ML</v>
      </c>
      <c r="F24" s="26" t="s">
        <v>62</v>
      </c>
      <c r="G24" s="70" t="s">
        <v>68</v>
      </c>
      <c r="H24" s="70" t="s">
        <v>73</v>
      </c>
      <c r="I24" s="80"/>
      <c r="J24" s="30">
        <v>136</v>
      </c>
      <c r="K24" s="94"/>
      <c r="L24" s="26">
        <v>1766852</v>
      </c>
      <c r="M24" s="95" t="s">
        <v>67</v>
      </c>
      <c r="N24" s="70"/>
      <c r="O24" s="45"/>
      <c r="P24" s="98">
        <v>845</v>
      </c>
    </row>
    <row r="25" spans="1:16" s="83" customFormat="1" ht="13.5" customHeight="1" x14ac:dyDescent="0.35">
      <c r="A25" s="72">
        <v>6</v>
      </c>
      <c r="B25" s="30" t="s">
        <v>63</v>
      </c>
      <c r="C25" s="30" t="s">
        <v>60</v>
      </c>
      <c r="D25" s="26">
        <v>845797</v>
      </c>
      <c r="E25" s="70" t="str">
        <f t="shared" si="0"/>
        <v>EH331-003</v>
      </c>
      <c r="F25" s="102" t="s">
        <v>63</v>
      </c>
      <c r="G25" s="70" t="s">
        <v>68</v>
      </c>
      <c r="H25" s="72" t="s">
        <v>74</v>
      </c>
      <c r="I25" s="80"/>
      <c r="J25" s="30">
        <v>138</v>
      </c>
      <c r="K25" s="94"/>
      <c r="L25" s="26">
        <v>1766852</v>
      </c>
      <c r="M25" s="95" t="s">
        <v>67</v>
      </c>
      <c r="N25" s="72"/>
      <c r="O25" s="84"/>
      <c r="P25" s="98">
        <v>845</v>
      </c>
    </row>
    <row r="26" spans="1:16" s="71" customFormat="1" ht="13.5" customHeight="1" x14ac:dyDescent="0.35">
      <c r="A26" s="70">
        <v>7</v>
      </c>
      <c r="B26" s="30" t="s">
        <v>64</v>
      </c>
      <c r="C26" s="30" t="s">
        <v>65</v>
      </c>
      <c r="D26" s="70">
        <v>845803</v>
      </c>
      <c r="E26" s="70" t="str">
        <f t="shared" si="0"/>
        <v>EH332-009</v>
      </c>
      <c r="F26" s="26" t="s">
        <v>64</v>
      </c>
      <c r="G26" s="70" t="s">
        <v>68</v>
      </c>
      <c r="H26" s="69" t="s">
        <v>75</v>
      </c>
      <c r="I26" s="80"/>
      <c r="J26" s="30">
        <v>136</v>
      </c>
      <c r="K26" s="94"/>
      <c r="L26" s="26">
        <v>1766852</v>
      </c>
      <c r="M26" s="95" t="s">
        <v>67</v>
      </c>
      <c r="N26" s="70"/>
      <c r="O26" s="45"/>
      <c r="P26" s="98">
        <v>845</v>
      </c>
    </row>
    <row r="27" spans="1:16" s="71" customFormat="1" ht="13.5" customHeight="1" x14ac:dyDescent="0.35">
      <c r="A27" s="70">
        <v>8</v>
      </c>
      <c r="B27" s="30" t="s">
        <v>66</v>
      </c>
      <c r="C27" s="30" t="s">
        <v>60</v>
      </c>
      <c r="D27" s="70">
        <v>845816</v>
      </c>
      <c r="E27" s="70" t="str">
        <f t="shared" si="0"/>
        <v>EH333-003</v>
      </c>
      <c r="F27" s="26" t="s">
        <v>66</v>
      </c>
      <c r="G27" s="70" t="s">
        <v>68</v>
      </c>
      <c r="H27" s="69" t="s">
        <v>76</v>
      </c>
      <c r="I27" s="80"/>
      <c r="J27" s="30">
        <v>138</v>
      </c>
      <c r="K27" s="94"/>
      <c r="L27" s="26">
        <v>1766852</v>
      </c>
      <c r="M27" s="95" t="s">
        <v>67</v>
      </c>
      <c r="N27" s="70"/>
      <c r="O27" s="45"/>
      <c r="P27" s="98">
        <v>845</v>
      </c>
    </row>
    <row r="28" spans="1:16" s="71" customFormat="1" ht="13.5" customHeight="1" x14ac:dyDescent="0.25">
      <c r="A28" s="70">
        <v>9</v>
      </c>
      <c r="B28" s="70"/>
      <c r="C28" s="70"/>
      <c r="D28" s="70"/>
      <c r="E28" s="70"/>
      <c r="F28" s="70"/>
      <c r="G28" s="70"/>
      <c r="H28" s="69"/>
      <c r="I28" s="80"/>
      <c r="J28" s="69"/>
      <c r="K28" s="94"/>
      <c r="L28" s="70"/>
      <c r="M28" s="70"/>
      <c r="N28" s="70"/>
      <c r="O28" s="45"/>
      <c r="P28" s="78"/>
    </row>
    <row r="29" spans="1:16" s="71" customFormat="1" ht="13.5" customHeight="1" x14ac:dyDescent="0.25">
      <c r="A29" s="70">
        <v>10</v>
      </c>
      <c r="B29" s="70"/>
      <c r="C29" s="70"/>
      <c r="D29" s="70"/>
      <c r="E29" s="70"/>
      <c r="F29" s="70"/>
      <c r="G29" s="70"/>
      <c r="H29" s="69"/>
      <c r="I29" s="70"/>
      <c r="J29" s="69"/>
      <c r="K29" s="94"/>
      <c r="L29" s="70"/>
      <c r="M29" s="70"/>
      <c r="N29" s="70"/>
      <c r="O29" s="45"/>
      <c r="P29" s="78"/>
    </row>
    <row r="30" spans="1:16" s="71" customFormat="1" ht="13.5" customHeight="1" x14ac:dyDescent="0.25">
      <c r="A30" s="70">
        <v>11</v>
      </c>
      <c r="B30" s="70"/>
      <c r="C30" s="70"/>
      <c r="D30" s="70"/>
      <c r="E30" s="70"/>
      <c r="F30" s="70"/>
      <c r="G30" s="70"/>
      <c r="H30" s="69"/>
      <c r="I30" s="70"/>
      <c r="J30" s="69"/>
      <c r="K30" s="94"/>
      <c r="L30" s="70"/>
      <c r="M30" s="70"/>
      <c r="N30" s="70"/>
      <c r="O30" s="45"/>
      <c r="P30" s="78"/>
    </row>
    <row r="31" spans="1:16" s="71" customFormat="1" ht="13.5" customHeight="1" x14ac:dyDescent="0.25">
      <c r="A31" s="70">
        <v>12</v>
      </c>
      <c r="B31" s="70"/>
      <c r="C31" s="70"/>
      <c r="D31" s="70"/>
      <c r="E31" s="70"/>
      <c r="F31" s="70"/>
      <c r="G31" s="70"/>
      <c r="H31" s="69"/>
      <c r="I31" s="70"/>
      <c r="J31" s="69"/>
      <c r="K31" s="94"/>
      <c r="L31" s="70"/>
      <c r="M31" s="70"/>
      <c r="N31" s="70"/>
      <c r="O31" s="45"/>
      <c r="P31" s="78"/>
    </row>
    <row r="32" spans="1:16" s="71" customFormat="1" ht="13.5" customHeight="1" x14ac:dyDescent="0.25">
      <c r="A32" s="70">
        <v>13</v>
      </c>
      <c r="B32" s="70"/>
      <c r="C32" s="70"/>
      <c r="D32" s="80"/>
      <c r="E32" s="70"/>
      <c r="F32" s="70"/>
      <c r="G32" s="70"/>
      <c r="H32" s="69"/>
      <c r="I32" s="70"/>
      <c r="J32" s="69"/>
      <c r="K32" s="94"/>
      <c r="L32" s="70"/>
      <c r="M32" s="70"/>
      <c r="N32" s="70"/>
      <c r="O32" s="45"/>
      <c r="P32" s="78"/>
    </row>
    <row r="33" spans="1:16" s="71" customFormat="1" ht="13.5" customHeight="1" x14ac:dyDescent="0.25">
      <c r="A33" s="70">
        <v>14</v>
      </c>
      <c r="B33" s="70"/>
      <c r="C33" s="70"/>
      <c r="D33" s="80"/>
      <c r="E33" s="70"/>
      <c r="F33" s="70"/>
      <c r="G33" s="70"/>
      <c r="H33" s="69"/>
      <c r="I33" s="70"/>
      <c r="J33" s="69"/>
      <c r="K33" s="94"/>
      <c r="L33" s="70"/>
      <c r="M33" s="70"/>
      <c r="N33" s="70"/>
      <c r="O33" s="45"/>
      <c r="P33" s="78"/>
    </row>
    <row r="34" spans="1:16" s="71" customFormat="1" ht="13.5" customHeight="1" x14ac:dyDescent="0.25">
      <c r="A34" s="70">
        <v>15</v>
      </c>
      <c r="B34" s="70"/>
      <c r="C34" s="70"/>
      <c r="D34" s="80"/>
      <c r="E34" s="70"/>
      <c r="F34" s="70"/>
      <c r="G34" s="70"/>
      <c r="H34" s="69"/>
      <c r="I34" s="70"/>
      <c r="J34" s="69"/>
      <c r="K34" s="94"/>
      <c r="L34" s="70"/>
      <c r="M34" s="70"/>
      <c r="N34" s="70"/>
      <c r="O34" s="45"/>
      <c r="P34" s="78"/>
    </row>
    <row r="35" spans="1:16" s="71" customFormat="1" ht="13.5" customHeight="1" x14ac:dyDescent="0.25">
      <c r="A35" s="70">
        <v>16</v>
      </c>
      <c r="B35" s="70"/>
      <c r="C35" s="70"/>
      <c r="D35" s="80"/>
      <c r="E35" s="70"/>
      <c r="F35" s="70"/>
      <c r="G35" s="70"/>
      <c r="H35" s="69"/>
      <c r="I35" s="70"/>
      <c r="J35" s="69"/>
      <c r="K35" s="94"/>
      <c r="L35" s="70"/>
      <c r="M35" s="70"/>
      <c r="N35" s="70"/>
      <c r="O35" s="45"/>
      <c r="P35" s="78"/>
    </row>
    <row r="36" spans="1:16" s="71" customFormat="1" ht="13.5" customHeight="1" x14ac:dyDescent="0.25">
      <c r="A36" s="70">
        <v>17</v>
      </c>
      <c r="B36" s="100"/>
      <c r="C36" s="100"/>
      <c r="D36" s="100"/>
      <c r="E36" s="100"/>
      <c r="F36" s="70"/>
      <c r="G36" s="70"/>
      <c r="H36" s="69"/>
      <c r="I36" s="70"/>
      <c r="J36" s="69"/>
      <c r="K36" s="94"/>
      <c r="L36" s="70"/>
      <c r="M36" s="70"/>
      <c r="N36" s="70"/>
      <c r="O36" s="45"/>
      <c r="P36" s="78"/>
    </row>
    <row r="37" spans="1:16" s="71" customFormat="1" ht="13.5" customHeight="1" x14ac:dyDescent="0.25">
      <c r="A37" s="70">
        <v>18</v>
      </c>
      <c r="B37" s="100"/>
      <c r="C37" s="101"/>
      <c r="D37" s="101"/>
      <c r="E37" s="101"/>
      <c r="F37" s="70"/>
      <c r="G37" s="70"/>
      <c r="H37" s="69"/>
      <c r="I37" s="70"/>
      <c r="J37" s="69"/>
      <c r="K37" s="94"/>
      <c r="L37" s="70"/>
      <c r="M37" s="70"/>
      <c r="N37" s="67"/>
      <c r="O37" s="45"/>
      <c r="P37" s="78"/>
    </row>
    <row r="38" spans="1:16" s="71" customFormat="1" ht="13.5" customHeight="1" x14ac:dyDescent="0.25">
      <c r="A38" s="70">
        <v>19</v>
      </c>
      <c r="B38" s="100"/>
      <c r="C38" s="101"/>
      <c r="D38" s="101"/>
      <c r="E38" s="101"/>
      <c r="F38" s="70"/>
      <c r="G38" s="70"/>
      <c r="H38" s="69"/>
      <c r="I38" s="70"/>
      <c r="J38" s="69"/>
      <c r="K38" s="94"/>
      <c r="L38" s="70"/>
      <c r="M38" s="70"/>
      <c r="N38" s="67"/>
      <c r="O38" s="45"/>
      <c r="P38" s="78"/>
    </row>
    <row r="39" spans="1:16" s="71" customFormat="1" ht="13.5" customHeight="1" x14ac:dyDescent="0.25">
      <c r="A39" s="70">
        <v>20</v>
      </c>
      <c r="B39" s="100"/>
      <c r="C39" s="101"/>
      <c r="D39" s="101"/>
      <c r="E39" s="101"/>
      <c r="F39" s="70"/>
      <c r="G39" s="81"/>
      <c r="H39" s="80"/>
      <c r="I39" s="80"/>
      <c r="J39" s="80"/>
      <c r="K39" s="94"/>
      <c r="L39" s="80"/>
      <c r="M39" s="69"/>
      <c r="N39" s="70"/>
      <c r="O39" s="45"/>
      <c r="P39" s="78"/>
    </row>
    <row r="40" spans="1:16" s="71" customFormat="1" ht="13.5" customHeight="1" x14ac:dyDescent="0.25">
      <c r="A40" s="70">
        <v>21</v>
      </c>
      <c r="B40" s="100"/>
      <c r="C40" s="101"/>
      <c r="D40" s="101"/>
      <c r="E40" s="101"/>
      <c r="F40" s="70"/>
      <c r="G40" s="70"/>
      <c r="H40" s="69"/>
      <c r="I40" s="70"/>
      <c r="J40" s="69"/>
      <c r="K40" s="94"/>
      <c r="L40" s="70"/>
      <c r="M40" s="70"/>
      <c r="N40" s="67"/>
      <c r="O40" s="45"/>
      <c r="P40" s="78"/>
    </row>
    <row r="41" spans="1:16" s="71" customFormat="1" ht="13.5" customHeight="1" x14ac:dyDescent="0.25">
      <c r="A41" s="70">
        <v>22</v>
      </c>
      <c r="B41" s="100"/>
      <c r="C41" s="101"/>
      <c r="D41" s="101"/>
      <c r="E41" s="101"/>
      <c r="F41" s="70"/>
      <c r="G41" s="70"/>
      <c r="H41" s="69"/>
      <c r="I41" s="70"/>
      <c r="J41" s="69"/>
      <c r="K41" s="94"/>
      <c r="L41" s="70"/>
      <c r="M41" s="70"/>
      <c r="N41" s="67"/>
      <c r="O41" s="45"/>
      <c r="P41" s="78"/>
    </row>
    <row r="42" spans="1:16" s="71" customFormat="1" ht="13.5" customHeight="1" x14ac:dyDescent="0.25">
      <c r="A42" s="70">
        <v>23</v>
      </c>
      <c r="B42" s="100"/>
      <c r="C42" s="101"/>
      <c r="D42" s="101"/>
      <c r="E42" s="101"/>
      <c r="F42" s="70"/>
      <c r="G42" s="26"/>
      <c r="H42" s="26"/>
      <c r="I42" s="72"/>
      <c r="J42" s="26"/>
      <c r="K42" s="94"/>
      <c r="L42" s="26"/>
      <c r="M42" s="26"/>
      <c r="N42" s="26"/>
      <c r="O42" s="45"/>
      <c r="P42" s="78"/>
    </row>
    <row r="43" spans="1:16" s="71" customFormat="1" ht="13.5" customHeight="1" x14ac:dyDescent="0.25">
      <c r="A43" s="70">
        <v>24</v>
      </c>
      <c r="B43" s="100"/>
      <c r="C43" s="101"/>
      <c r="D43" s="101"/>
      <c r="E43" s="101"/>
      <c r="F43" s="70"/>
      <c r="G43" s="70"/>
      <c r="H43" s="69"/>
      <c r="I43" s="70"/>
      <c r="J43" s="69"/>
      <c r="K43" s="94"/>
      <c r="L43" s="70"/>
      <c r="M43" s="70"/>
      <c r="N43" s="26"/>
      <c r="O43" s="45"/>
      <c r="P43" s="78"/>
    </row>
    <row r="44" spans="1:16" s="71" customFormat="1" ht="13.5" customHeight="1" x14ac:dyDescent="0.25">
      <c r="A44" s="70">
        <v>25</v>
      </c>
      <c r="B44" s="100"/>
      <c r="C44" s="101"/>
      <c r="D44" s="101"/>
      <c r="E44" s="101"/>
      <c r="F44" s="70"/>
      <c r="G44" s="26"/>
      <c r="H44" s="26"/>
      <c r="I44" s="72"/>
      <c r="J44" s="26"/>
      <c r="K44" s="94"/>
      <c r="L44" s="26"/>
      <c r="M44" s="26"/>
      <c r="N44" s="26"/>
      <c r="O44" s="45"/>
      <c r="P44" s="78"/>
    </row>
    <row r="45" spans="1:16" s="71" customFormat="1" ht="13.5" customHeight="1" x14ac:dyDescent="0.25">
      <c r="A45" s="70">
        <v>26</v>
      </c>
      <c r="B45" s="26"/>
      <c r="C45" s="26"/>
      <c r="D45" s="30"/>
      <c r="E45" s="70"/>
      <c r="F45" s="70"/>
      <c r="G45" s="26"/>
      <c r="H45" s="26"/>
      <c r="I45" s="72"/>
      <c r="J45" s="26"/>
      <c r="K45" s="94"/>
      <c r="L45" s="26"/>
      <c r="M45" s="26"/>
      <c r="N45" s="26"/>
      <c r="O45" s="45"/>
      <c r="P45" s="78"/>
    </row>
    <row r="46" spans="1:16" s="71" customFormat="1" ht="13.5" customHeight="1" x14ac:dyDescent="0.25">
      <c r="A46" s="70">
        <v>27</v>
      </c>
      <c r="B46" s="26"/>
      <c r="C46" s="26"/>
      <c r="D46" s="30"/>
      <c r="E46" s="70"/>
      <c r="F46" s="70"/>
      <c r="G46" s="26"/>
      <c r="H46" s="26"/>
      <c r="I46" s="72"/>
      <c r="J46" s="26"/>
      <c r="K46" s="94"/>
      <c r="L46" s="26"/>
      <c r="M46" s="26"/>
      <c r="N46" s="26"/>
      <c r="O46" s="45"/>
      <c r="P46" s="78"/>
    </row>
    <row r="47" spans="1:16" s="71" customFormat="1" ht="13.5" customHeight="1" x14ac:dyDescent="0.25">
      <c r="A47" s="70">
        <v>28</v>
      </c>
      <c r="B47" s="26"/>
      <c r="C47" s="26"/>
      <c r="D47" s="30"/>
      <c r="E47" s="70"/>
      <c r="F47" s="70"/>
      <c r="G47" s="26"/>
      <c r="H47" s="26"/>
      <c r="I47" s="72"/>
      <c r="J47" s="26"/>
      <c r="K47" s="94"/>
      <c r="L47" s="26"/>
      <c r="M47" s="26"/>
      <c r="N47" s="26"/>
      <c r="O47" s="45"/>
      <c r="P47" s="78"/>
    </row>
    <row r="48" spans="1:16" s="71" customFormat="1" ht="13.5" customHeight="1" x14ac:dyDescent="0.25">
      <c r="A48" s="70">
        <v>29</v>
      </c>
      <c r="B48" s="26"/>
      <c r="C48" s="26"/>
      <c r="D48" s="30"/>
      <c r="E48" s="70"/>
      <c r="F48" s="70"/>
      <c r="G48" s="26"/>
      <c r="H48" s="26"/>
      <c r="I48" s="72"/>
      <c r="J48" s="26"/>
      <c r="K48" s="94"/>
      <c r="L48" s="26"/>
      <c r="M48" s="26"/>
      <c r="N48" s="26"/>
      <c r="O48" s="45"/>
      <c r="P48" s="78"/>
    </row>
    <row r="49" spans="1:16" s="71" customFormat="1" ht="13.5" customHeight="1" x14ac:dyDescent="0.25">
      <c r="A49" s="70">
        <v>30</v>
      </c>
      <c r="B49" s="26"/>
      <c r="C49" s="26"/>
      <c r="D49" s="30"/>
      <c r="E49" s="70"/>
      <c r="F49" s="70"/>
      <c r="G49" s="26"/>
      <c r="H49" s="26"/>
      <c r="I49" s="72"/>
      <c r="J49" s="26"/>
      <c r="K49" s="94"/>
      <c r="L49" s="26"/>
      <c r="M49" s="26"/>
      <c r="N49" s="26"/>
      <c r="O49" s="45"/>
      <c r="P49" s="78"/>
    </row>
    <row r="50" spans="1:16" s="71" customFormat="1" ht="13.5" customHeight="1" x14ac:dyDescent="0.25">
      <c r="A50" s="70">
        <v>31</v>
      </c>
      <c r="B50" s="26"/>
      <c r="C50" s="26"/>
      <c r="D50" s="30"/>
      <c r="E50" s="70"/>
      <c r="F50" s="70"/>
      <c r="G50" s="26"/>
      <c r="H50" s="26"/>
      <c r="I50" s="72"/>
      <c r="J50" s="26"/>
      <c r="K50" s="94"/>
      <c r="L50" s="26"/>
      <c r="M50" s="26"/>
      <c r="N50" s="26"/>
      <c r="O50" s="45"/>
      <c r="P50" s="78"/>
    </row>
    <row r="51" spans="1:16" s="71" customFormat="1" ht="13.5" customHeight="1" x14ac:dyDescent="0.25">
      <c r="A51" s="70">
        <v>32</v>
      </c>
      <c r="B51" s="26"/>
      <c r="C51" s="26"/>
      <c r="D51" s="30"/>
      <c r="E51" s="70"/>
      <c r="F51" s="70"/>
      <c r="G51" s="26"/>
      <c r="H51" s="26"/>
      <c r="I51" s="72"/>
      <c r="J51" s="26"/>
      <c r="K51" s="94"/>
      <c r="L51" s="26"/>
      <c r="M51" s="26"/>
      <c r="N51" s="26"/>
      <c r="O51" s="45"/>
      <c r="P51" s="78"/>
    </row>
    <row r="52" spans="1:16" s="71" customFormat="1" ht="13.5" customHeight="1" x14ac:dyDescent="0.25">
      <c r="A52" s="70">
        <v>33</v>
      </c>
      <c r="B52" s="26"/>
      <c r="C52" s="26"/>
      <c r="D52" s="30"/>
      <c r="E52" s="70"/>
      <c r="F52" s="70"/>
      <c r="G52" s="26"/>
      <c r="H52" s="26"/>
      <c r="I52" s="72"/>
      <c r="J52" s="26"/>
      <c r="K52" s="94"/>
      <c r="L52" s="26"/>
      <c r="M52" s="26"/>
      <c r="N52" s="26"/>
      <c r="O52" s="45"/>
      <c r="P52" s="78"/>
    </row>
    <row r="53" spans="1:16" s="71" customFormat="1" x14ac:dyDescent="0.25">
      <c r="A53" s="70">
        <v>34</v>
      </c>
      <c r="B53" s="26"/>
      <c r="C53" s="26"/>
      <c r="D53" s="30"/>
      <c r="E53" s="70"/>
      <c r="F53" s="70"/>
      <c r="G53" s="26"/>
      <c r="H53" s="26"/>
      <c r="I53" s="72"/>
      <c r="J53" s="26"/>
      <c r="K53" s="94"/>
      <c r="L53" s="26"/>
      <c r="M53" s="26"/>
      <c r="N53" s="26"/>
      <c r="O53" s="45"/>
      <c r="P53" s="78"/>
    </row>
    <row r="54" spans="1:16" s="71" customFormat="1" x14ac:dyDescent="0.25">
      <c r="A54" s="70">
        <v>35</v>
      </c>
      <c r="B54" s="26"/>
      <c r="C54" s="26"/>
      <c r="D54" s="30"/>
      <c r="E54" s="70"/>
      <c r="F54" s="70"/>
      <c r="G54" s="26"/>
      <c r="H54" s="26"/>
      <c r="I54" s="72"/>
      <c r="J54" s="26"/>
      <c r="K54" s="94"/>
      <c r="L54" s="26"/>
      <c r="M54" s="26"/>
      <c r="N54" s="26"/>
      <c r="O54" s="45"/>
      <c r="P54" s="78"/>
    </row>
    <row r="55" spans="1:16" s="71" customFormat="1" x14ac:dyDescent="0.25">
      <c r="A55" s="70">
        <v>36</v>
      </c>
      <c r="B55" s="26"/>
      <c r="C55" s="26"/>
      <c r="D55" s="30"/>
      <c r="E55" s="70"/>
      <c r="F55" s="70"/>
      <c r="G55" s="26"/>
      <c r="H55" s="26"/>
      <c r="I55" s="72"/>
      <c r="J55" s="26"/>
      <c r="K55" s="94"/>
      <c r="L55" s="26"/>
      <c r="M55" s="26"/>
      <c r="N55" s="26"/>
      <c r="O55" s="45"/>
      <c r="P55" s="78"/>
    </row>
    <row r="56" spans="1:16" s="71" customFormat="1" x14ac:dyDescent="0.25">
      <c r="A56" s="70">
        <v>37</v>
      </c>
      <c r="B56" s="26"/>
      <c r="C56" s="26"/>
      <c r="D56" s="30"/>
      <c r="E56" s="70"/>
      <c r="F56" s="70"/>
      <c r="G56" s="26"/>
      <c r="H56" s="26"/>
      <c r="I56" s="72"/>
      <c r="J56" s="26"/>
      <c r="K56" s="94"/>
      <c r="L56" s="26"/>
      <c r="M56" s="26"/>
      <c r="N56" s="26"/>
      <c r="O56" s="45"/>
      <c r="P56" s="78"/>
    </row>
    <row r="57" spans="1:16" s="71" customFormat="1" x14ac:dyDescent="0.25">
      <c r="A57" s="70">
        <v>38</v>
      </c>
      <c r="B57" s="26"/>
      <c r="C57" s="26"/>
      <c r="D57" s="30"/>
      <c r="E57" s="70"/>
      <c r="F57" s="70"/>
      <c r="G57" s="26"/>
      <c r="H57" s="26"/>
      <c r="I57" s="72"/>
      <c r="J57" s="26"/>
      <c r="K57" s="94"/>
      <c r="L57" s="26"/>
      <c r="M57" s="26"/>
      <c r="N57" s="26"/>
      <c r="O57" s="45"/>
      <c r="P57" s="78"/>
    </row>
    <row r="58" spans="1:16" s="71" customFormat="1" x14ac:dyDescent="0.25">
      <c r="A58" s="70">
        <v>39</v>
      </c>
      <c r="B58" s="26"/>
      <c r="C58" s="26"/>
      <c r="D58" s="30"/>
      <c r="E58" s="70"/>
      <c r="F58" s="70"/>
      <c r="G58" s="26"/>
      <c r="H58" s="26"/>
      <c r="I58" s="72"/>
      <c r="J58" s="26"/>
      <c r="K58" s="94"/>
      <c r="L58" s="26"/>
      <c r="M58" s="26"/>
      <c r="N58" s="26"/>
      <c r="O58" s="45"/>
      <c r="P58" s="78"/>
    </row>
    <row r="59" spans="1:16" s="71" customFormat="1" x14ac:dyDescent="0.25">
      <c r="A59" s="70">
        <v>40</v>
      </c>
      <c r="B59" s="26"/>
      <c r="C59" s="26"/>
      <c r="D59" s="30"/>
      <c r="E59" s="70"/>
      <c r="F59" s="70"/>
      <c r="G59" s="26"/>
      <c r="H59" s="26"/>
      <c r="I59" s="72"/>
      <c r="J59" s="26"/>
      <c r="K59" s="94"/>
      <c r="L59" s="26"/>
      <c r="M59" s="26"/>
      <c r="N59" s="26"/>
      <c r="O59" s="45"/>
      <c r="P59" s="78"/>
    </row>
    <row r="60" spans="1:16" s="71" customFormat="1" x14ac:dyDescent="0.25">
      <c r="A60" s="70">
        <v>41</v>
      </c>
      <c r="B60" s="26"/>
      <c r="C60" s="26"/>
      <c r="D60" s="30"/>
      <c r="E60" s="70"/>
      <c r="F60" s="70"/>
      <c r="G60" s="26"/>
      <c r="H60" s="26"/>
      <c r="I60" s="72"/>
      <c r="J60" s="26"/>
      <c r="K60" s="94"/>
      <c r="L60" s="26"/>
      <c r="M60" s="26"/>
      <c r="N60" s="26"/>
      <c r="O60" s="45"/>
      <c r="P60" s="78"/>
    </row>
    <row r="61" spans="1:16" s="71" customFormat="1" x14ac:dyDescent="0.25">
      <c r="A61" s="70">
        <v>42</v>
      </c>
      <c r="B61" s="26"/>
      <c r="C61" s="26"/>
      <c r="D61" s="30"/>
      <c r="E61" s="70"/>
      <c r="F61" s="70"/>
      <c r="G61" s="26"/>
      <c r="H61" s="26"/>
      <c r="I61" s="72"/>
      <c r="J61" s="26"/>
      <c r="K61" s="94"/>
      <c r="L61" s="26"/>
      <c r="M61" s="26"/>
      <c r="N61" s="26"/>
      <c r="O61" s="45"/>
      <c r="P61" s="78"/>
    </row>
    <row r="62" spans="1:16" ht="13" x14ac:dyDescent="0.25">
      <c r="A62" s="42">
        <v>43</v>
      </c>
      <c r="B62" s="30"/>
      <c r="C62" s="30"/>
      <c r="D62" s="30"/>
      <c r="E62" s="70"/>
      <c r="F62" s="70"/>
      <c r="G62" s="26"/>
      <c r="H62" s="26"/>
      <c r="I62" s="41"/>
      <c r="J62" s="30"/>
      <c r="K62" s="94"/>
      <c r="L62" s="30"/>
      <c r="M62" s="30"/>
      <c r="N62" s="26"/>
      <c r="O62" s="45"/>
      <c r="P62" s="78"/>
    </row>
    <row r="63" spans="1:16" ht="13" x14ac:dyDescent="0.25">
      <c r="A63" s="42">
        <v>44</v>
      </c>
      <c r="B63" s="30"/>
      <c r="C63" s="30"/>
      <c r="D63" s="30"/>
      <c r="E63" s="70" t="str">
        <f t="shared" ref="E63:E79" si="1">B63&amp;"-"&amp;C63</f>
        <v>-</v>
      </c>
      <c r="F63" s="30"/>
      <c r="G63" s="26"/>
      <c r="H63" s="30"/>
      <c r="I63" s="41"/>
      <c r="J63" s="30"/>
      <c r="K63" s="30"/>
      <c r="L63" s="30"/>
      <c r="M63" s="30"/>
      <c r="N63" s="26"/>
      <c r="O63" s="45"/>
      <c r="P63" s="78"/>
    </row>
    <row r="64" spans="1:16" ht="13" x14ac:dyDescent="0.25">
      <c r="A64" s="42">
        <v>45</v>
      </c>
      <c r="B64" s="30"/>
      <c r="C64" s="30"/>
      <c r="D64" s="30"/>
      <c r="E64" s="70" t="str">
        <f t="shared" si="1"/>
        <v>-</v>
      </c>
      <c r="F64" s="30"/>
      <c r="G64" s="26"/>
      <c r="H64" s="30"/>
      <c r="I64" s="41"/>
      <c r="J64" s="30"/>
      <c r="K64" s="30"/>
      <c r="L64" s="30"/>
      <c r="M64" s="30"/>
      <c r="N64" s="26"/>
      <c r="O64" s="45"/>
      <c r="P64" s="78"/>
    </row>
    <row r="65" spans="1:16" ht="13" x14ac:dyDescent="0.25">
      <c r="A65" s="42">
        <v>46</v>
      </c>
      <c r="B65" s="30"/>
      <c r="C65" s="30"/>
      <c r="D65" s="30"/>
      <c r="E65" s="70" t="str">
        <f t="shared" si="1"/>
        <v>-</v>
      </c>
      <c r="F65" s="30"/>
      <c r="G65" s="26"/>
      <c r="H65" s="30"/>
      <c r="I65" s="41"/>
      <c r="J65" s="30"/>
      <c r="K65" s="30"/>
      <c r="L65" s="30"/>
      <c r="M65" s="30"/>
      <c r="N65" s="26"/>
      <c r="O65" s="45"/>
      <c r="P65" s="78"/>
    </row>
    <row r="66" spans="1:16" ht="13" x14ac:dyDescent="0.25">
      <c r="A66" s="42">
        <v>47</v>
      </c>
      <c r="B66" s="30"/>
      <c r="C66" s="30"/>
      <c r="D66" s="30"/>
      <c r="E66" s="70" t="str">
        <f t="shared" si="1"/>
        <v>-</v>
      </c>
      <c r="F66" s="30"/>
      <c r="G66" s="26"/>
      <c r="H66" s="30"/>
      <c r="I66" s="41"/>
      <c r="J66" s="30"/>
      <c r="K66" s="30"/>
      <c r="L66" s="30"/>
      <c r="M66" s="30"/>
      <c r="N66" s="26"/>
      <c r="O66" s="45"/>
      <c r="P66" s="78"/>
    </row>
    <row r="67" spans="1:16" ht="13" x14ac:dyDescent="0.25">
      <c r="A67" s="42">
        <v>48</v>
      </c>
      <c r="B67" s="30"/>
      <c r="C67" s="30"/>
      <c r="D67" s="30"/>
      <c r="E67" s="70" t="str">
        <f t="shared" si="1"/>
        <v>-</v>
      </c>
      <c r="F67" s="30"/>
      <c r="G67" s="26"/>
      <c r="H67" s="30"/>
      <c r="I67" s="41"/>
      <c r="J67" s="30"/>
      <c r="K67" s="30"/>
      <c r="L67" s="30"/>
      <c r="M67" s="30"/>
      <c r="N67" s="26"/>
      <c r="O67" s="45"/>
      <c r="P67" s="78"/>
    </row>
    <row r="68" spans="1:16" ht="13" x14ac:dyDescent="0.25">
      <c r="A68" s="42">
        <v>49</v>
      </c>
      <c r="B68" s="30"/>
      <c r="C68" s="30"/>
      <c r="D68" s="30"/>
      <c r="E68" s="70" t="str">
        <f t="shared" si="1"/>
        <v>-</v>
      </c>
      <c r="F68" s="30"/>
      <c r="G68" s="26"/>
      <c r="H68" s="30"/>
      <c r="I68" s="41"/>
      <c r="J68" s="30"/>
      <c r="K68" s="30"/>
      <c r="L68" s="30"/>
      <c r="M68" s="30"/>
      <c r="N68" s="26"/>
      <c r="O68" s="45"/>
      <c r="P68" s="78"/>
    </row>
    <row r="69" spans="1:16" ht="13" x14ac:dyDescent="0.25">
      <c r="A69" s="42">
        <v>50</v>
      </c>
      <c r="B69" s="30"/>
      <c r="C69" s="30"/>
      <c r="D69" s="30"/>
      <c r="E69" s="70" t="str">
        <f t="shared" si="1"/>
        <v>-</v>
      </c>
      <c r="F69" s="30"/>
      <c r="G69" s="26"/>
      <c r="H69" s="30"/>
      <c r="I69" s="41"/>
      <c r="J69" s="30"/>
      <c r="K69" s="30"/>
      <c r="L69" s="30"/>
      <c r="M69" s="30"/>
      <c r="N69" s="26"/>
      <c r="O69" s="45"/>
      <c r="P69" s="78"/>
    </row>
    <row r="70" spans="1:16" ht="13" x14ac:dyDescent="0.25">
      <c r="A70" s="42">
        <v>51</v>
      </c>
      <c r="B70" s="30"/>
      <c r="C70" s="30"/>
      <c r="D70" s="30"/>
      <c r="E70" s="70" t="str">
        <f t="shared" si="1"/>
        <v>-</v>
      </c>
      <c r="F70" s="30"/>
      <c r="G70" s="26"/>
      <c r="H70" s="30"/>
      <c r="I70" s="41"/>
      <c r="J70" s="30"/>
      <c r="K70" s="30"/>
      <c r="L70" s="30"/>
      <c r="M70" s="30"/>
      <c r="N70" s="26"/>
      <c r="O70" s="45"/>
      <c r="P70" s="78"/>
    </row>
    <row r="71" spans="1:16" ht="13" x14ac:dyDescent="0.25">
      <c r="A71" s="42">
        <v>52</v>
      </c>
      <c r="B71" s="30"/>
      <c r="C71" s="30"/>
      <c r="D71" s="30"/>
      <c r="E71" s="70" t="str">
        <f t="shared" si="1"/>
        <v>-</v>
      </c>
      <c r="F71" s="30"/>
      <c r="G71" s="26"/>
      <c r="H71" s="30"/>
      <c r="I71" s="41"/>
      <c r="J71" s="30"/>
      <c r="K71" s="30"/>
      <c r="L71" s="30"/>
      <c r="M71" s="30"/>
      <c r="N71" s="26"/>
      <c r="O71" s="45"/>
      <c r="P71" s="78"/>
    </row>
    <row r="72" spans="1:16" ht="13" x14ac:dyDescent="0.25">
      <c r="A72" s="42">
        <v>53</v>
      </c>
      <c r="B72" s="30"/>
      <c r="C72" s="30"/>
      <c r="D72" s="30"/>
      <c r="E72" s="70" t="str">
        <f t="shared" si="1"/>
        <v>-</v>
      </c>
      <c r="F72" s="30"/>
      <c r="G72" s="26"/>
      <c r="H72" s="30"/>
      <c r="I72" s="41"/>
      <c r="J72" s="30"/>
      <c r="K72" s="30"/>
      <c r="L72" s="30"/>
      <c r="M72" s="30"/>
      <c r="N72" s="26"/>
      <c r="O72" s="45"/>
      <c r="P72" s="78"/>
    </row>
    <row r="73" spans="1:16" ht="13" x14ac:dyDescent="0.25">
      <c r="A73" s="42">
        <v>54</v>
      </c>
      <c r="B73" s="30"/>
      <c r="C73" s="30"/>
      <c r="D73" s="30"/>
      <c r="E73" s="70" t="str">
        <f t="shared" si="1"/>
        <v>-</v>
      </c>
      <c r="F73" s="30"/>
      <c r="G73" s="26"/>
      <c r="H73" s="30"/>
      <c r="I73" s="41"/>
      <c r="J73" s="30"/>
      <c r="K73" s="30"/>
      <c r="L73" s="30"/>
      <c r="M73" s="30"/>
      <c r="N73" s="26"/>
      <c r="O73" s="45"/>
      <c r="P73" s="78"/>
    </row>
    <row r="74" spans="1:16" ht="13" x14ac:dyDescent="0.25">
      <c r="A74" s="42">
        <v>55</v>
      </c>
      <c r="B74" s="30"/>
      <c r="C74" s="30"/>
      <c r="D74" s="30"/>
      <c r="E74" s="70" t="str">
        <f t="shared" si="1"/>
        <v>-</v>
      </c>
      <c r="F74" s="30"/>
      <c r="G74" s="26"/>
      <c r="H74" s="30"/>
      <c r="I74" s="41"/>
      <c r="J74" s="30"/>
      <c r="K74" s="30"/>
      <c r="L74" s="30"/>
      <c r="M74" s="30"/>
      <c r="N74" s="26"/>
      <c r="O74" s="45"/>
      <c r="P74" s="78"/>
    </row>
    <row r="75" spans="1:16" ht="13" x14ac:dyDescent="0.25">
      <c r="A75" s="42">
        <v>56</v>
      </c>
      <c r="B75" s="30"/>
      <c r="C75" s="30"/>
      <c r="D75" s="30"/>
      <c r="E75" s="70" t="str">
        <f t="shared" si="1"/>
        <v>-</v>
      </c>
      <c r="F75" s="30"/>
      <c r="G75" s="26"/>
      <c r="H75" s="30"/>
      <c r="I75" s="41"/>
      <c r="J75" s="30"/>
      <c r="K75" s="30"/>
      <c r="L75" s="30"/>
      <c r="M75" s="30"/>
      <c r="N75" s="26"/>
      <c r="O75" s="45"/>
      <c r="P75" s="78"/>
    </row>
    <row r="76" spans="1:16" ht="13" x14ac:dyDescent="0.25">
      <c r="A76" s="42">
        <v>57</v>
      </c>
      <c r="B76" s="46"/>
      <c r="C76" s="46"/>
      <c r="D76" s="46"/>
      <c r="E76" s="70" t="str">
        <f t="shared" si="1"/>
        <v>-</v>
      </c>
      <c r="F76" s="30"/>
      <c r="G76" s="26"/>
      <c r="H76" s="30"/>
      <c r="I76" s="41"/>
      <c r="J76" s="30"/>
      <c r="K76" s="30"/>
      <c r="L76" s="30"/>
      <c r="M76" s="30"/>
      <c r="N76" s="26"/>
      <c r="O76" s="41"/>
      <c r="P76" s="78"/>
    </row>
    <row r="77" spans="1:16" ht="13" x14ac:dyDescent="0.25">
      <c r="A77" s="42">
        <v>58</v>
      </c>
      <c r="B77" s="46"/>
      <c r="C77" s="46"/>
      <c r="D77" s="46"/>
      <c r="E77" s="70" t="str">
        <f t="shared" si="1"/>
        <v>-</v>
      </c>
      <c r="F77" s="30"/>
      <c r="G77" s="26"/>
      <c r="H77" s="30"/>
      <c r="I77" s="41"/>
      <c r="J77" s="30"/>
      <c r="K77" s="30"/>
      <c r="L77" s="30"/>
      <c r="M77" s="30"/>
      <c r="N77" s="26"/>
      <c r="O77" s="41"/>
      <c r="P77" s="78"/>
    </row>
    <row r="78" spans="1:16" ht="13" x14ac:dyDescent="0.25">
      <c r="A78" s="42">
        <v>59</v>
      </c>
      <c r="B78" s="46"/>
      <c r="C78" s="46"/>
      <c r="D78" s="46"/>
      <c r="E78" s="70" t="str">
        <f t="shared" si="1"/>
        <v>-</v>
      </c>
      <c r="F78" s="30"/>
      <c r="G78" s="26"/>
      <c r="H78" s="30"/>
      <c r="I78" s="41"/>
      <c r="J78" s="30"/>
      <c r="K78" s="30"/>
      <c r="L78" s="30"/>
      <c r="M78" s="30"/>
      <c r="N78" s="26"/>
      <c r="O78" s="41"/>
      <c r="P78" s="78"/>
    </row>
    <row r="79" spans="1:16" ht="13" x14ac:dyDescent="0.25">
      <c r="A79" s="42">
        <v>60</v>
      </c>
      <c r="B79" s="46"/>
      <c r="C79" s="46"/>
      <c r="D79" s="46"/>
      <c r="E79" s="70" t="str">
        <f t="shared" si="1"/>
        <v>-</v>
      </c>
      <c r="F79" s="30"/>
      <c r="J79" s="30"/>
      <c r="K79" s="30"/>
      <c r="L79" s="30"/>
      <c r="M79" s="30"/>
      <c r="N79" s="26"/>
      <c r="O79" s="41"/>
      <c r="P79" s="78"/>
    </row>
    <row r="80" spans="1:16" ht="15.75" customHeight="1" x14ac:dyDescent="0.25">
      <c r="B80" s="47"/>
      <c r="C80" s="47"/>
      <c r="D80" s="47"/>
    </row>
    <row r="81" spans="1:8" ht="20" x14ac:dyDescent="0.4">
      <c r="A81" s="48" t="s">
        <v>4</v>
      </c>
      <c r="B81" s="47"/>
      <c r="C81" s="47"/>
      <c r="D81" s="47"/>
    </row>
    <row r="82" spans="1:8" ht="15.5" x14ac:dyDescent="0.35">
      <c r="A82" s="49"/>
      <c r="B82" s="4"/>
      <c r="C82" s="4"/>
      <c r="D82" s="4"/>
    </row>
    <row r="83" spans="1:8" ht="23" x14ac:dyDescent="0.5">
      <c r="A83" s="50" t="str">
        <f>E4</f>
        <v>SEE BELOW</v>
      </c>
    </row>
    <row r="84" spans="1:8" x14ac:dyDescent="0.25">
      <c r="E84" s="47"/>
      <c r="G84" s="47"/>
      <c r="H84" s="47"/>
    </row>
    <row r="85" spans="1:8" ht="23" x14ac:dyDescent="0.5">
      <c r="B85" s="51"/>
      <c r="C85" s="47"/>
      <c r="D85" s="47"/>
      <c r="F85" s="47"/>
    </row>
    <row r="86" spans="1:8" ht="23" x14ac:dyDescent="0.5">
      <c r="A86" s="51" t="s">
        <v>24</v>
      </c>
    </row>
    <row r="88" spans="1:8" ht="13" thickBot="1" x14ac:dyDescent="0.3"/>
    <row r="89" spans="1:8" ht="13" thickBot="1" x14ac:dyDescent="0.3">
      <c r="E89" s="52"/>
    </row>
    <row r="90" spans="1:8" ht="13.5" thickBot="1" x14ac:dyDescent="0.35">
      <c r="B90" s="52"/>
      <c r="C90" s="52"/>
      <c r="D90" s="73"/>
      <c r="E90" s="34" t="s">
        <v>9</v>
      </c>
      <c r="F90" s="53"/>
    </row>
    <row r="91" spans="1:8" ht="13" x14ac:dyDescent="0.3">
      <c r="A91" s="52"/>
      <c r="B91" s="34" t="s">
        <v>6</v>
      </c>
      <c r="C91" s="34" t="s">
        <v>7</v>
      </c>
      <c r="D91" s="74"/>
      <c r="E91" s="37">
        <f>INDEX($A$20:$J$79,$A92,4)</f>
        <v>845746</v>
      </c>
      <c r="F91" s="33" t="s">
        <v>8</v>
      </c>
    </row>
    <row r="92" spans="1:8" ht="16" thickBot="1" x14ac:dyDescent="0.4">
      <c r="A92" s="25">
        <v>1</v>
      </c>
      <c r="B92" s="35" t="str">
        <f>INDEX($A$20:$J$79,$A92,2)</f>
        <v>EH324</v>
      </c>
      <c r="C92" s="36" t="str">
        <f>INDEX($A$20:$J$79,$A92,3)</f>
        <v>0ML</v>
      </c>
      <c r="D92" s="75"/>
      <c r="E92" s="54"/>
      <c r="F92" s="35">
        <f>INDEX($A$20:$J$79,$A92,9)</f>
        <v>0</v>
      </c>
    </row>
    <row r="93" spans="1:8" ht="15.5" x14ac:dyDescent="0.35">
      <c r="A93" s="55"/>
      <c r="B93" s="56"/>
      <c r="C93" s="56"/>
      <c r="D93" s="56"/>
      <c r="E93" s="11"/>
      <c r="F93" s="57"/>
    </row>
    <row r="94" spans="1:8" ht="15.5" x14ac:dyDescent="0.35">
      <c r="A94" s="58"/>
      <c r="B94" s="59" t="s">
        <v>25</v>
      </c>
      <c r="C94" s="59"/>
      <c r="D94" s="59"/>
      <c r="E94" s="11"/>
      <c r="F94" s="60"/>
    </row>
    <row r="95" spans="1:8" ht="15.5" x14ac:dyDescent="0.35">
      <c r="A95" s="58"/>
      <c r="B95" s="59" t="s">
        <v>26</v>
      </c>
      <c r="C95" s="59"/>
      <c r="D95" s="59"/>
      <c r="E95" s="12"/>
      <c r="F95" s="60"/>
    </row>
    <row r="96" spans="1:8" ht="15.5" x14ac:dyDescent="0.35">
      <c r="A96" s="58"/>
      <c r="B96" s="59" t="s">
        <v>27</v>
      </c>
      <c r="C96" s="59"/>
      <c r="D96" s="59"/>
      <c r="E96" s="13"/>
      <c r="F96" s="60"/>
    </row>
    <row r="97" spans="1:6" ht="15.5" x14ac:dyDescent="0.35">
      <c r="A97" s="58"/>
      <c r="B97" s="59" t="s">
        <v>28</v>
      </c>
      <c r="C97" s="59"/>
      <c r="D97" s="59"/>
      <c r="E97" s="61"/>
      <c r="F97" s="60"/>
    </row>
    <row r="98" spans="1:6" ht="15.5" x14ac:dyDescent="0.35">
      <c r="A98" s="58"/>
      <c r="B98" s="62" t="str">
        <f>$E$5</f>
        <v>SEE BELOW</v>
      </c>
      <c r="C98" s="12"/>
      <c r="D98" s="12"/>
      <c r="E98" s="61"/>
      <c r="F98" s="60"/>
    </row>
    <row r="99" spans="1:6" ht="15.5" x14ac:dyDescent="0.35">
      <c r="A99" s="58"/>
      <c r="B99" s="62" t="str">
        <f>"SKU#: "&amp;INDEX($A$20:$J$79,A92,8)</f>
        <v>SKU#: 60X70 EH LEOPARD FLASH</v>
      </c>
      <c r="E99" s="61"/>
      <c r="F99" s="60"/>
    </row>
    <row r="100" spans="1:6" ht="15.5" x14ac:dyDescent="0.35">
      <c r="A100" s="58"/>
      <c r="B100" s="63" t="e">
        <f>"DEPT#: "&amp;TEXT(#REF!,"000")</f>
        <v>#REF!</v>
      </c>
      <c r="C100" s="12"/>
      <c r="D100" s="12"/>
      <c r="E100" s="61"/>
      <c r="F100" s="60"/>
    </row>
    <row r="101" spans="1:6" ht="15.5" x14ac:dyDescent="0.35">
      <c r="A101" s="58"/>
      <c r="B101" s="62" t="s">
        <v>11</v>
      </c>
      <c r="C101" s="59" t="str">
        <f>INDEX($A$20:$J$79,A92,5)&amp;"/"&amp;INDEX($A$20:$J$79,A92,6)</f>
        <v>EH324-0ML/EH324</v>
      </c>
      <c r="D101" s="59"/>
      <c r="E101" s="61"/>
      <c r="F101" s="60"/>
    </row>
    <row r="102" spans="1:6" ht="15.5" x14ac:dyDescent="0.35">
      <c r="A102" s="58"/>
      <c r="B102" s="62" t="s">
        <v>12</v>
      </c>
      <c r="C102" s="59" t="str">
        <f>INDEX($A$20:$I32,A92,7)</f>
        <v>MULTI</v>
      </c>
      <c r="D102" s="59"/>
      <c r="E102" s="61"/>
      <c r="F102" s="60"/>
    </row>
    <row r="103" spans="1:6" ht="15.5" x14ac:dyDescent="0.35">
      <c r="A103" s="58"/>
      <c r="B103" s="62" t="s">
        <v>19</v>
      </c>
      <c r="C103" s="59"/>
      <c r="D103" s="59"/>
      <c r="E103" s="61"/>
      <c r="F103" s="60"/>
    </row>
    <row r="104" spans="1:6" ht="16" thickBot="1" x14ac:dyDescent="0.4">
      <c r="A104" s="58"/>
      <c r="B104" s="62" t="s">
        <v>13</v>
      </c>
      <c r="C104" s="59"/>
      <c r="D104" s="59"/>
      <c r="E104" s="64"/>
      <c r="F104" s="60"/>
    </row>
    <row r="105" spans="1:6" ht="13.5" thickBot="1" x14ac:dyDescent="0.35">
      <c r="A105" s="58"/>
      <c r="B105" s="65"/>
      <c r="C105" s="65"/>
      <c r="D105" s="76"/>
      <c r="F105" s="7"/>
    </row>
    <row r="106" spans="1:6" ht="13" thickBot="1" x14ac:dyDescent="0.3">
      <c r="A106" s="66"/>
    </row>
  </sheetData>
  <mergeCells count="3">
    <mergeCell ref="F2:H2"/>
    <mergeCell ref="C7:E7"/>
    <mergeCell ref="J3:L3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M20:M27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146050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146050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E15A-CC0F-4B90-A050-92CF08236B15}">
  <dimension ref="A1:K8"/>
  <sheetViews>
    <sheetView workbookViewId="0">
      <selection activeCell="C5" sqref="C5"/>
    </sheetView>
  </sheetViews>
  <sheetFormatPr defaultColWidth="9.1796875" defaultRowHeight="12.5" x14ac:dyDescent="0.25"/>
  <cols>
    <col min="1" max="1" width="13.7265625" customWidth="1"/>
    <col min="8" max="11" width="16.81640625" style="85" customWidth="1"/>
  </cols>
  <sheetData>
    <row r="1" spans="1:10" ht="14.5" x14ac:dyDescent="0.35">
      <c r="A1" s="31"/>
      <c r="B1" s="86"/>
      <c r="H1" s="87"/>
      <c r="I1" s="87"/>
      <c r="J1" s="87"/>
    </row>
    <row r="2" spans="1:10" ht="14.5" x14ac:dyDescent="0.35">
      <c r="A2" s="31"/>
      <c r="B2" s="86"/>
      <c r="H2" s="88"/>
      <c r="I2" s="89"/>
      <c r="J2" s="90"/>
    </row>
    <row r="3" spans="1:10" ht="14.5" x14ac:dyDescent="0.35">
      <c r="A3" s="31"/>
      <c r="B3" s="86"/>
      <c r="H3" s="31"/>
      <c r="I3" s="86"/>
      <c r="J3" s="90"/>
    </row>
    <row r="4" spans="1:10" ht="14.5" x14ac:dyDescent="0.35">
      <c r="A4" s="31"/>
      <c r="B4" s="86"/>
      <c r="H4" s="31"/>
      <c r="I4" s="86"/>
      <c r="J4" s="90"/>
    </row>
    <row r="5" spans="1:10" ht="14.5" x14ac:dyDescent="0.35">
      <c r="A5" s="31"/>
      <c r="B5" s="86"/>
      <c r="H5" s="31"/>
      <c r="I5" s="86"/>
      <c r="J5" s="90"/>
    </row>
    <row r="6" spans="1:10" ht="14.5" x14ac:dyDescent="0.35">
      <c r="A6" s="31"/>
      <c r="B6" s="86"/>
      <c r="H6" s="31"/>
      <c r="I6" s="86"/>
      <c r="J6" s="90"/>
    </row>
    <row r="7" spans="1:10" ht="14.5" x14ac:dyDescent="0.35">
      <c r="A7" s="31"/>
      <c r="B7" s="86"/>
      <c r="H7" s="31"/>
      <c r="I7" s="86"/>
      <c r="J7" s="90"/>
    </row>
    <row r="8" spans="1:10" ht="14.5" x14ac:dyDescent="0.35">
      <c r="H8" s="31"/>
      <c r="I8" s="86"/>
      <c r="J8" s="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6E9B-833A-414E-B0E7-CDB6AC89DEF5}">
  <dimension ref="A1:C6"/>
  <sheetViews>
    <sheetView workbookViewId="0">
      <selection activeCell="F7" sqref="F7"/>
    </sheetView>
  </sheetViews>
  <sheetFormatPr defaultColWidth="9.1796875" defaultRowHeight="12.5" x14ac:dyDescent="0.25"/>
  <cols>
    <col min="1" max="1" width="12.54296875" customWidth="1"/>
    <col min="3" max="3" width="14.54296875" bestFit="1" customWidth="1"/>
  </cols>
  <sheetData>
    <row r="1" spans="1:3" ht="13" x14ac:dyDescent="0.25">
      <c r="A1" s="68" t="s">
        <v>14</v>
      </c>
      <c r="B1" s="68" t="s">
        <v>20</v>
      </c>
      <c r="C1" s="68" t="s">
        <v>53</v>
      </c>
    </row>
    <row r="2" spans="1:3" ht="14.5" x14ac:dyDescent="0.25">
      <c r="A2" s="80" t="s">
        <v>51</v>
      </c>
      <c r="B2" s="81" t="s">
        <v>48</v>
      </c>
      <c r="C2" s="82">
        <v>38</v>
      </c>
    </row>
    <row r="3" spans="1:3" ht="14.5" x14ac:dyDescent="0.25">
      <c r="A3" s="80" t="s">
        <v>51</v>
      </c>
      <c r="B3" s="81" t="s">
        <v>49</v>
      </c>
      <c r="C3" s="82">
        <v>38</v>
      </c>
    </row>
    <row r="4" spans="1:3" ht="14.5" x14ac:dyDescent="0.25">
      <c r="A4" s="80" t="s">
        <v>51</v>
      </c>
      <c r="B4" s="81" t="s">
        <v>50</v>
      </c>
      <c r="C4" s="82">
        <v>38</v>
      </c>
    </row>
    <row r="5" spans="1:3" ht="14.5" x14ac:dyDescent="0.25">
      <c r="A5" s="80" t="s">
        <v>52</v>
      </c>
      <c r="B5" s="81" t="s">
        <v>48</v>
      </c>
      <c r="C5" s="82">
        <v>58</v>
      </c>
    </row>
    <row r="6" spans="1:3" ht="14.5" x14ac:dyDescent="0.25">
      <c r="A6" s="80" t="s">
        <v>52</v>
      </c>
      <c r="B6" s="81" t="s">
        <v>50</v>
      </c>
      <c r="C6" s="82">
        <v>58</v>
      </c>
    </row>
  </sheetData>
  <phoneticPr fontId="2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ColWidth="8.81640625" defaultRowHeight="12.5" x14ac:dyDescent="0.25"/>
  <cols>
    <col min="1" max="1" width="22.26953125" customWidth="1"/>
    <col min="2" max="2" width="19.1796875" customWidth="1"/>
    <col min="3" max="3" width="18.26953125" style="31" customWidth="1"/>
    <col min="4" max="4" width="29.1796875" style="31" customWidth="1"/>
  </cols>
  <sheetData>
    <row r="1" spans="1:6" ht="13" x14ac:dyDescent="0.3">
      <c r="A1" s="27" t="s">
        <v>15</v>
      </c>
      <c r="B1" s="27" t="s">
        <v>29</v>
      </c>
      <c r="C1" s="27" t="s">
        <v>30</v>
      </c>
      <c r="D1" s="27" t="s">
        <v>39</v>
      </c>
      <c r="E1" s="44" t="s">
        <v>34</v>
      </c>
      <c r="F1" s="44" t="s">
        <v>40</v>
      </c>
    </row>
    <row r="2" spans="1:6" x14ac:dyDescent="0.25">
      <c r="A2" s="26" t="s">
        <v>41</v>
      </c>
      <c r="B2" s="28">
        <v>300663175498</v>
      </c>
      <c r="C2" s="30">
        <v>66317549</v>
      </c>
      <c r="D2" s="30">
        <v>5</v>
      </c>
    </row>
    <row r="3" spans="1:6" x14ac:dyDescent="0.25">
      <c r="A3" s="26" t="s">
        <v>41</v>
      </c>
      <c r="B3" s="28">
        <v>300663175511</v>
      </c>
      <c r="C3" s="30">
        <v>66317551</v>
      </c>
      <c r="D3" s="30">
        <v>6</v>
      </c>
    </row>
    <row r="4" spans="1:6" x14ac:dyDescent="0.25">
      <c r="A4" s="26" t="s">
        <v>41</v>
      </c>
      <c r="B4" s="28">
        <v>300663175634</v>
      </c>
      <c r="C4" s="30">
        <v>66317563</v>
      </c>
      <c r="D4" s="30">
        <v>7</v>
      </c>
    </row>
    <row r="5" spans="1:6" x14ac:dyDescent="0.25">
      <c r="A5" s="26" t="s">
        <v>41</v>
      </c>
      <c r="B5" s="28">
        <v>300663175764</v>
      </c>
      <c r="C5" s="30">
        <v>66317576</v>
      </c>
      <c r="D5" s="26">
        <v>8</v>
      </c>
    </row>
    <row r="6" spans="1:6" x14ac:dyDescent="0.25">
      <c r="A6" s="26" t="s">
        <v>41</v>
      </c>
      <c r="B6" s="28">
        <v>300663175887</v>
      </c>
      <c r="C6" s="30">
        <v>66317588</v>
      </c>
      <c r="D6" s="26">
        <v>9</v>
      </c>
    </row>
    <row r="7" spans="1:6" x14ac:dyDescent="0.25">
      <c r="A7" s="26" t="s">
        <v>41</v>
      </c>
      <c r="B7" s="29">
        <v>300663175900</v>
      </c>
      <c r="C7" s="28">
        <v>66317590</v>
      </c>
      <c r="D7" s="26">
        <v>10</v>
      </c>
    </row>
    <row r="8" spans="1:6" x14ac:dyDescent="0.25">
      <c r="A8" s="26"/>
      <c r="B8" s="28"/>
      <c r="C8" s="30"/>
      <c r="D8" s="32"/>
    </row>
    <row r="9" spans="1:6" x14ac:dyDescent="0.25">
      <c r="A9" s="26"/>
      <c r="B9" s="28"/>
      <c r="C9" s="30"/>
      <c r="D9" s="32"/>
    </row>
    <row r="10" spans="1:6" x14ac:dyDescent="0.25">
      <c r="A10" s="26"/>
      <c r="B10" s="28"/>
      <c r="C10" s="30"/>
      <c r="D10" s="32"/>
    </row>
    <row r="11" spans="1:6" x14ac:dyDescent="0.25">
      <c r="A11" s="26"/>
      <c r="B11" s="28"/>
      <c r="C11" s="30"/>
      <c r="D11" s="32"/>
    </row>
    <row r="12" spans="1:6" x14ac:dyDescent="0.25">
      <c r="A12" s="26"/>
      <c r="B12" s="28"/>
      <c r="D12" s="32"/>
    </row>
    <row r="13" spans="1:6" x14ac:dyDescent="0.25">
      <c r="A13" s="26"/>
      <c r="B13" s="28"/>
      <c r="C13" s="30"/>
      <c r="D13" s="32"/>
    </row>
    <row r="14" spans="1:6" x14ac:dyDescent="0.25">
      <c r="A14" s="26"/>
      <c r="B14" s="28"/>
      <c r="C14" s="30"/>
      <c r="D14" s="32"/>
    </row>
    <row r="15" spans="1:6" x14ac:dyDescent="0.25">
      <c r="A15" s="26"/>
      <c r="B15" s="28"/>
      <c r="C15" s="30"/>
      <c r="D15" s="32"/>
    </row>
    <row r="16" spans="1:6" x14ac:dyDescent="0.25">
      <c r="A16" s="26"/>
      <c r="B16" s="28"/>
      <c r="C16" s="30"/>
      <c r="D16" s="28"/>
    </row>
    <row r="17" spans="1:4" x14ac:dyDescent="0.25">
      <c r="A17" s="26"/>
      <c r="B17" s="28"/>
      <c r="C17" s="30"/>
      <c r="D17" s="28"/>
    </row>
    <row r="20" spans="1:4" x14ac:dyDescent="0.25">
      <c r="B20" s="29"/>
    </row>
    <row r="21" spans="1:4" x14ac:dyDescent="0.25">
      <c r="B21" s="29"/>
    </row>
    <row r="22" spans="1:4" x14ac:dyDescent="0.25">
      <c r="B22" s="29"/>
    </row>
    <row r="23" spans="1:4" x14ac:dyDescent="0.25">
      <c r="B23" s="29"/>
    </row>
    <row r="24" spans="1:4" x14ac:dyDescent="0.25">
      <c r="B24" s="29"/>
    </row>
    <row r="25" spans="1:4" x14ac:dyDescent="0.25">
      <c r="B25" s="29"/>
    </row>
    <row r="26" spans="1:4" x14ac:dyDescent="0.25">
      <c r="B26" s="29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Sheet4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2025-01-13T20:00:44Z</cp:lastPrinted>
  <dcterms:created xsi:type="dcterms:W3CDTF">2008-06-06T20:54:57Z</dcterms:created>
  <dcterms:modified xsi:type="dcterms:W3CDTF">2026-06-25T16:42:18Z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