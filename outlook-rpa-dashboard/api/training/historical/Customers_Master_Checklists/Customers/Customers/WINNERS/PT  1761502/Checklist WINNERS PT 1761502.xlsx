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WINNERS/PT/"/>
    </mc:Choice>
  </mc:AlternateContent>
  <xr:revisionPtr revIDLastSave="13" documentId="13_ncr:1_{C50A42EF-DDAB-4CC5-9DF4-645D863259BD}" xr6:coauthVersionLast="47" xr6:coauthVersionMax="47" xr10:uidLastSave="{73E34BF3-B273-4710-80E1-BA65EFD14A75}"/>
  <bookViews>
    <workbookView xWindow="-110" yWindow="-110" windowWidth="19420" windowHeight="10300" tabRatio="599" xr2:uid="{00000000-000D-0000-FFFF-FFFF00000000}"/>
  </bookViews>
  <sheets>
    <sheet name="BREAKDOWN" sheetId="1" r:id="rId1"/>
  </sheets>
  <definedNames>
    <definedName name="_xlnm._FilterDatabase" localSheetId="0" hidden="1">BREAKDOWN!$A$1:$U$1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J3" i="1"/>
  <c r="K3" i="1"/>
  <c r="L3" i="1" l="1"/>
  <c r="L2" i="1"/>
  <c r="M3" i="1"/>
  <c r="M2" i="1"/>
  <c r="N3" i="1"/>
  <c r="N2" i="1" l="1"/>
</calcChain>
</file>

<file path=xl/sharedStrings.xml><?xml version="1.0" encoding="utf-8"?>
<sst xmlns="http://schemas.openxmlformats.org/spreadsheetml/2006/main" count="39" uniqueCount="32">
  <si>
    <t>PICKTKT</t>
  </si>
  <si>
    <t>CTRL_NO</t>
  </si>
  <si>
    <t>ORDER_NO</t>
  </si>
  <si>
    <t>CUSTOMER</t>
  </si>
  <si>
    <t>START_DATE</t>
  </si>
  <si>
    <t>CANCEL_DATE</t>
  </si>
  <si>
    <t>STYLE</t>
  </si>
  <si>
    <t>COLOR</t>
  </si>
  <si>
    <t>PICK_QTY</t>
  </si>
  <si>
    <t>CARTONS</t>
  </si>
  <si>
    <t>LBS</t>
  </si>
  <si>
    <t>KG</t>
  </si>
  <si>
    <t>CUBE</t>
  </si>
  <si>
    <t>CBM</t>
  </si>
  <si>
    <t>SALES_PRICE</t>
  </si>
  <si>
    <t>COST BREAKDOWN</t>
  </si>
  <si>
    <t>COMPOSITION</t>
  </si>
  <si>
    <t>Country of Origin</t>
  </si>
  <si>
    <t>Fibre Content/Ingredients</t>
  </si>
  <si>
    <t>Care/Usage Instructions</t>
  </si>
  <si>
    <t>WINNERS</t>
  </si>
  <si>
    <t>CHINA</t>
  </si>
  <si>
    <t>DESC</t>
  </si>
  <si>
    <t>EHH381-42</t>
  </si>
  <si>
    <t>EHH411A-42</t>
  </si>
  <si>
    <t>003</t>
  </si>
  <si>
    <t>060</t>
  </si>
  <si>
    <t>EH HONEY PETITE PARIS SATCHEL</t>
  </si>
  <si>
    <t>EH ARLENE SMALL SATCHEL</t>
  </si>
  <si>
    <r>
      <t>1</t>
    </r>
    <r>
      <rPr>
        <sz val="11"/>
        <color theme="1"/>
        <rFont val="Calibri"/>
        <family val="3"/>
        <charset val="134"/>
        <scheme val="minor"/>
      </rPr>
      <t>00% PU</t>
    </r>
    <phoneticPr fontId="10" type="noConversion"/>
  </si>
  <si>
    <t xml:space="preserve">Use a soft, dry cloth or gentle brush to remove loose dirt from the surface </t>
  </si>
  <si>
    <t>40 438972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</si>
</sst>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Bs.S&quot;* #,##0.00_ ;_ &quot;Bs.S&quot;* \-#,##0.00_ ;_ &quot;Bs.S&quot;* &quot;-&quot;??_ ;_ @_ "/>
    <numFmt numFmtId="165" formatCode="mm/dd/yy"/>
    <numFmt numFmtId="166" formatCode="_([$$-409]* #,##0.00_);_([$$-409]* \(#,##0.00\);_([$$-409]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8" fillId="0" borderId="0"/>
    <xf numFmtId="0" fontId="1" fillId="0" borderId="0"/>
  </cellStyleXfs>
  <cellXfs count="2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5" fillId="2" borderId="1" xfId="1" applyFont="1" applyFill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5" fillId="4" borderId="1" xfId="1" applyFont="1" applyFill="1" applyBorder="1" applyAlignment="1">
      <alignment horizontal="center" vertical="center"/>
    </xf>
    <xf numFmtId="0" fontId="0" fillId="3" borderId="1" xfId="0" applyFill="1" applyBorder="1"/>
    <xf numFmtId="166" fontId="3" fillId="3" borderId="1" xfId="1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3" borderId="0" xfId="0" applyFont="1" applyFill="1"/>
  </cellXfs>
  <cellStyles count="9">
    <cellStyle name="Currency" xfId="1" builtinId="4"/>
    <cellStyle name="Currency 2" xfId="2" xr:uid="{00000000-0005-0000-0000-000001000000}"/>
    <cellStyle name="Currency 2 2" xfId="4" xr:uid="{71758F89-051B-450A-80FA-665ADAC8941C}"/>
    <cellStyle name="Currency 3" xfId="3" xr:uid="{6672487E-0B6C-4E37-8A67-31D3F63816F2}"/>
    <cellStyle name="Normal" xfId="0" builtinId="0"/>
    <cellStyle name="常规 2" xfId="5" xr:uid="{0312BEB7-EBE5-43D2-BACD-E9FC71DB7BEC}"/>
    <cellStyle name="常规 3" xfId="6" xr:uid="{B09371FB-BED5-4311-A95C-C0F94A6B4721}"/>
    <cellStyle name="常规 3 2" xfId="8" xr:uid="{E03EDC12-88C6-4FBA-BC01-46835D687441}"/>
    <cellStyle name="常规 4" xfId="7" xr:uid="{8DC2FD1C-42AE-4C1A-A7B3-AE1B9DDD2157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zoomScale="120" zoomScaleNormal="120" workbookViewId="0">
      <selection activeCell="I13" sqref="I13"/>
    </sheetView>
  </sheetViews>
  <sheetFormatPr defaultColWidth="9.1796875" defaultRowHeight="14.5"/>
  <cols>
    <col min="1" max="1" width="9" style="1" customWidth="1"/>
    <col min="2" max="2" width="9.453125" style="1" customWidth="1"/>
    <col min="3" max="3" width="11.1796875" style="1" customWidth="1"/>
    <col min="4" max="4" width="11.453125" style="1" customWidth="1"/>
    <col min="5" max="5" width="13.1796875" style="1" customWidth="1"/>
    <col min="6" max="6" width="14.453125" style="1" customWidth="1"/>
    <col min="7" max="7" width="16" style="2" bestFit="1" customWidth="1"/>
    <col min="8" max="8" width="7.453125" style="1" customWidth="1"/>
    <col min="9" max="9" width="10.1796875" style="1" customWidth="1"/>
    <col min="10" max="10" width="10" style="1" customWidth="1"/>
    <col min="11" max="11" width="4.7265625" style="1" customWidth="1"/>
    <col min="12" max="12" width="12" style="1" customWidth="1"/>
    <col min="13" max="13" width="6" style="1" customWidth="1"/>
    <col min="14" max="14" width="8" style="1" customWidth="1"/>
    <col min="15" max="15" width="43.26953125" style="1" customWidth="1"/>
    <col min="16" max="16" width="15" style="1" customWidth="1"/>
    <col min="17" max="17" width="20" style="1" customWidth="1"/>
    <col min="18" max="18" width="24.26953125" style="1" customWidth="1"/>
    <col min="19" max="19" width="35.81640625" style="1" customWidth="1"/>
    <col min="20" max="20" width="31.7265625" style="2" customWidth="1"/>
    <col min="21" max="21" width="21.453125" style="2" bestFit="1" customWidth="1"/>
    <col min="22" max="16384" width="9.1796875" style="3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22</v>
      </c>
      <c r="P1" s="6" t="s">
        <v>14</v>
      </c>
      <c r="Q1" s="6" t="s">
        <v>17</v>
      </c>
      <c r="R1" s="17" t="s">
        <v>18</v>
      </c>
      <c r="S1" s="6" t="s">
        <v>19</v>
      </c>
      <c r="T1" s="5" t="s">
        <v>16</v>
      </c>
      <c r="U1" s="5" t="s">
        <v>15</v>
      </c>
    </row>
    <row r="2" spans="1:21" s="13" customFormat="1" ht="16">
      <c r="A2" s="18">
        <v>1761502</v>
      </c>
      <c r="B2" s="11">
        <v>3788203</v>
      </c>
      <c r="C2" s="11" t="s">
        <v>31</v>
      </c>
      <c r="D2" s="8" t="s">
        <v>20</v>
      </c>
      <c r="E2" s="9">
        <v>46168</v>
      </c>
      <c r="F2" s="10">
        <v>46175</v>
      </c>
      <c r="G2" s="16" t="s">
        <v>23</v>
      </c>
      <c r="H2" s="11" t="s">
        <v>26</v>
      </c>
      <c r="I2" s="11">
        <v>100</v>
      </c>
      <c r="J2" s="11">
        <f t="shared" ref="J2:J3" si="0">+ROUNDUP((I2/48),0)</f>
        <v>3</v>
      </c>
      <c r="K2" s="14">
        <f t="shared" ref="K2:K3" si="1">I2*0.56</f>
        <v>56.000000000000007</v>
      </c>
      <c r="L2" s="14">
        <f t="shared" ref="L2:L3" si="2">K2/2.20456</f>
        <v>25.401894255543063</v>
      </c>
      <c r="M2" s="14">
        <f t="shared" ref="M2:M3" si="3">J2*3</f>
        <v>9</v>
      </c>
      <c r="N2" s="14">
        <f t="shared" ref="N2:N3" si="4">M2*0.02832</f>
        <v>0.25488</v>
      </c>
      <c r="O2" s="11" t="s">
        <v>27</v>
      </c>
      <c r="P2" s="19">
        <v>18</v>
      </c>
      <c r="Q2" s="15" t="s">
        <v>21</v>
      </c>
      <c r="R2" s="20" t="s">
        <v>29</v>
      </c>
      <c r="S2" s="21" t="s">
        <v>30</v>
      </c>
      <c r="T2" s="20" t="s">
        <v>29</v>
      </c>
      <c r="U2" s="19">
        <v>18</v>
      </c>
    </row>
    <row r="3" spans="1:21" s="13" customFormat="1" ht="16">
      <c r="A3" s="18">
        <v>1761502</v>
      </c>
      <c r="B3" s="11">
        <v>3788203</v>
      </c>
      <c r="C3" s="11" t="s">
        <v>31</v>
      </c>
      <c r="D3" s="8" t="s">
        <v>20</v>
      </c>
      <c r="E3" s="9">
        <v>46168</v>
      </c>
      <c r="F3" s="10">
        <v>46175</v>
      </c>
      <c r="G3" s="16" t="s">
        <v>24</v>
      </c>
      <c r="H3" s="11" t="s">
        <v>25</v>
      </c>
      <c r="I3" s="11">
        <v>150</v>
      </c>
      <c r="J3" s="11">
        <f t="shared" si="0"/>
        <v>4</v>
      </c>
      <c r="K3" s="11">
        <f t="shared" si="1"/>
        <v>84.000000000000014</v>
      </c>
      <c r="L3" s="11">
        <f t="shared" si="2"/>
        <v>38.10284138331459</v>
      </c>
      <c r="M3" s="11">
        <f t="shared" si="3"/>
        <v>12</v>
      </c>
      <c r="N3" s="11">
        <f t="shared" si="4"/>
        <v>0.33984000000000003</v>
      </c>
      <c r="O3" s="11" t="s">
        <v>28</v>
      </c>
      <c r="P3" s="19">
        <v>18</v>
      </c>
      <c r="Q3" s="12" t="s">
        <v>21</v>
      </c>
      <c r="R3" s="20" t="s">
        <v>29</v>
      </c>
      <c r="S3" s="21" t="s">
        <v>30</v>
      </c>
      <c r="T3" s="20" t="s">
        <v>29</v>
      </c>
      <c r="U3" s="19">
        <v>18</v>
      </c>
    </row>
    <row r="4" spans="1:21">
      <c r="F4" s="7"/>
    </row>
  </sheetData>
  <autoFilter ref="A1:U1" xr:uid="{00000000-0001-0000-0000-000000000000}"/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Karina Zelaya</cp:lastModifiedBy>
  <dcterms:created xsi:type="dcterms:W3CDTF">2023-03-08T18:18:00Z</dcterms:created>
  <dcterms:modified xsi:type="dcterms:W3CDTF">2026-05-29T22:45:53Z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59811429429445ECB0096C1D279933D3_12</vt:lpwstr>
  </property>
  <property fmtid="{D5CDD505-2E9C-101B-9397-08002B2CF9AE}" pid="3" name="KSOProductBuildVer">
    <vt:lpwstr>2052-12.1.0.17827</vt:lpwstr>
  </property>
</Properties>
</file>