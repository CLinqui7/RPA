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Bealls Outlet/PT/"/>
    </mc:Choice>
  </mc:AlternateContent>
  <xr:revisionPtr revIDLastSave="31" documentId="8_{0EBB2938-9D16-473B-B306-699D55C5D276}" xr6:coauthVersionLast="47" xr6:coauthVersionMax="47" xr10:uidLastSave="{5E140E22-14E9-4F52-8868-4D19D866ABA7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1" l="1"/>
  <c r="E20" i="1"/>
  <c r="D20" i="1"/>
  <c r="D21" i="1"/>
  <c r="D91" i="1"/>
  <c r="C101" i="1"/>
  <c r="B92" i="1"/>
  <c r="C92" i="1"/>
  <c r="E92" i="1"/>
  <c r="B98" i="1"/>
  <c r="B99" i="1"/>
  <c r="B100" i="1"/>
  <c r="C102" i="1"/>
  <c r="A83" i="1"/>
</calcChain>
</file>

<file path=xl/sharedStrings.xml><?xml version="1.0" encoding="utf-8"?>
<sst xmlns="http://schemas.openxmlformats.org/spreadsheetml/2006/main" count="64" uniqueCount="52">
  <si>
    <t>PICK TICKET CHECK LIST</t>
  </si>
  <si>
    <t>TICKETING</t>
  </si>
  <si>
    <t>ROUTING</t>
  </si>
  <si>
    <t xml:space="preserve">PACKING INSTRUCTIONS:   </t>
  </si>
  <si>
    <t>PLEASE LABEL CTNS AS FOLLOW</t>
  </si>
  <si>
    <t xml:space="preserve">SHIP VIA: </t>
  </si>
  <si>
    <t>PT STYLE #</t>
  </si>
  <si>
    <t>PT COLOR #</t>
  </si>
  <si>
    <t>PT QTY</t>
  </si>
  <si>
    <t>CUST STYLE #</t>
  </si>
  <si>
    <t>TABLE</t>
  </si>
  <si>
    <t>MFG STYLE/COLOR#:</t>
  </si>
  <si>
    <t>DESCRIPTION:</t>
  </si>
  <si>
    <t>TOTAL QTY:</t>
  </si>
  <si>
    <t>STYLE</t>
  </si>
  <si>
    <t>CUST STYLE</t>
  </si>
  <si>
    <t>QTY</t>
  </si>
  <si>
    <t>MFG COLOR</t>
  </si>
  <si>
    <t>DESCRIPTION</t>
  </si>
  <si>
    <r>
      <t>CTN:</t>
    </r>
    <r>
      <rPr>
        <b/>
        <sz val="12"/>
        <color indexed="10"/>
        <rFont val="Arial"/>
        <family val="2"/>
      </rPr>
      <t xml:space="preserve"> 1 of ___</t>
    </r>
  </si>
  <si>
    <t>Color</t>
  </si>
  <si>
    <t>MFG STYLE</t>
  </si>
  <si>
    <t>DEPARTMENT</t>
  </si>
  <si>
    <t>INSTRUCTIONS: Fill in Table BELOW</t>
  </si>
  <si>
    <t>Update number in reference to the table row, Copy and paste entire box under</t>
  </si>
  <si>
    <t>BEALLS DISTRIBUTION CTR</t>
  </si>
  <si>
    <t>Beall's Dept Stores #50</t>
  </si>
  <si>
    <t>1806 38th Avenue East</t>
  </si>
  <si>
    <t>Bradenton, FL. 34208</t>
  </si>
  <si>
    <t>UPC#</t>
  </si>
  <si>
    <t>SKU#</t>
  </si>
  <si>
    <t xml:space="preserve">* WE NEED SKU FOR SHOES WITH TICKETS </t>
  </si>
  <si>
    <t>BEALLS OUTLET STORES</t>
  </si>
  <si>
    <t>TRACKING NUMBER:</t>
  </si>
  <si>
    <t>SKU/ UPC</t>
  </si>
  <si>
    <t>PT</t>
  </si>
  <si>
    <t xml:space="preserve">PO </t>
  </si>
  <si>
    <t>PT# SEE BELOW</t>
  </si>
  <si>
    <t>PO#: SEE BELOW</t>
  </si>
  <si>
    <t>Make sure we are not covering the scannable barcode</t>
  </si>
  <si>
    <t>TICKETS</t>
  </si>
  <si>
    <t>IF YES TRACKING</t>
  </si>
  <si>
    <t>SEE BELOW</t>
  </si>
  <si>
    <t>SIZE</t>
  </si>
  <si>
    <t>PO</t>
  </si>
  <si>
    <t>MANDY96T-WHA</t>
  </si>
  <si>
    <t>BLACK</t>
  </si>
  <si>
    <t>EHH342-42</t>
  </si>
  <si>
    <t>BMT</t>
  </si>
  <si>
    <t>1820943</t>
  </si>
  <si>
    <t>1820944</t>
  </si>
  <si>
    <t>MICK SLING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</si>
</sst>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5" formatCode="0000"/>
  </numFmts>
  <fonts count="31" x14ac:knownFonts="1">
    <font>
      <sz val="10"/>
      <name val="Arial"/>
    </font>
    <font>
      <sz val="10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sz val="11"/>
      <color indexed="10"/>
      <name val="Arial"/>
      <family val="2"/>
    </font>
    <font>
      <b/>
      <sz val="12"/>
      <color indexed="10"/>
      <name val="Arial"/>
      <family val="2"/>
    </font>
    <font>
      <b/>
      <sz val="10"/>
      <color indexed="12"/>
      <name val="Arial"/>
      <family val="2"/>
    </font>
    <font>
      <b/>
      <sz val="16"/>
      <color indexed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u/>
      <sz val="12"/>
      <color indexed="12"/>
      <name val="Arial"/>
      <family val="2"/>
    </font>
    <font>
      <b/>
      <u/>
      <sz val="18"/>
      <color indexed="12"/>
      <name val="Arial"/>
      <family val="2"/>
    </font>
    <font>
      <b/>
      <sz val="14"/>
      <name val="Arial"/>
      <family val="2"/>
    </font>
    <font>
      <b/>
      <u/>
      <sz val="10"/>
      <color indexed="12"/>
      <name val="Arial"/>
      <family val="2"/>
    </font>
    <font>
      <b/>
      <sz val="18"/>
      <color indexed="12"/>
      <name val="Arial"/>
      <family val="2"/>
    </font>
    <font>
      <sz val="10"/>
      <color indexed="12"/>
      <name val="Arial"/>
      <family val="2"/>
    </font>
    <font>
      <sz val="26"/>
      <color indexed="12"/>
      <name val="Arial"/>
      <family val="2"/>
    </font>
    <font>
      <b/>
      <sz val="10"/>
      <name val="Arial"/>
      <family val="2"/>
    </font>
    <font>
      <b/>
      <sz val="12"/>
      <color indexed="12"/>
      <name val="Arial"/>
      <family val="2"/>
    </font>
    <font>
      <b/>
      <sz val="12"/>
      <color indexed="20"/>
      <name val="Arial"/>
      <family val="2"/>
    </font>
    <font>
      <b/>
      <sz val="12"/>
      <color indexed="16"/>
      <name val="Arial"/>
      <family val="2"/>
    </font>
    <font>
      <b/>
      <sz val="14"/>
      <color indexed="10"/>
      <name val="Arial"/>
      <family val="2"/>
    </font>
    <font>
      <b/>
      <sz val="26"/>
      <color indexed="12"/>
      <name val="Arial"/>
      <family val="2"/>
    </font>
    <font>
      <b/>
      <sz val="18"/>
      <name val="Arial"/>
      <family val="2"/>
    </font>
    <font>
      <b/>
      <sz val="16"/>
      <name val="Arial"/>
      <family val="2"/>
    </font>
    <font>
      <sz val="8"/>
      <color rgb="FF000000"/>
      <name val="Tahoma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b/>
      <sz val="16"/>
      <color rgb="FF222222"/>
      <name val="Arial"/>
      <family val="2"/>
    </font>
    <font>
      <sz val="7"/>
      <name val="Arial"/>
      <family val="2"/>
    </font>
    <font>
      <sz val="10"/>
      <color rgb="FFFF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7" fillId="0" borderId="0" applyNumberFormat="0" applyFill="0" applyBorder="0" applyAlignment="0" applyProtection="0"/>
  </cellStyleXfs>
  <cellXfs count="88">
    <xf numFmtId="0" fontId="0" fillId="0" borderId="0" xfId="0"/>
    <xf numFmtId="0" fontId="2" fillId="0" borderId="0" xfId="0" applyFont="1"/>
    <xf numFmtId="0" fontId="4" fillId="0" borderId="0" xfId="0" applyFont="1"/>
    <xf numFmtId="0" fontId="0" fillId="2" borderId="0" xfId="0" applyFill="1"/>
    <xf numFmtId="0" fontId="10" fillId="0" borderId="0" xfId="0" applyFont="1" applyAlignment="1">
      <alignment horizontal="center"/>
    </xf>
    <xf numFmtId="0" fontId="11" fillId="0" borderId="0" xfId="0" applyFont="1"/>
    <xf numFmtId="0" fontId="3" fillId="2" borderId="0" xfId="0" applyFont="1" applyFill="1"/>
    <xf numFmtId="0" fontId="7" fillId="2" borderId="0" xfId="0" applyFont="1" applyFill="1"/>
    <xf numFmtId="0" fontId="12" fillId="0" borderId="0" xfId="0" applyFont="1"/>
    <xf numFmtId="0" fontId="0" fillId="3" borderId="1" xfId="0" applyFill="1" applyBorder="1"/>
    <xf numFmtId="0" fontId="3" fillId="3" borderId="2" xfId="0" applyFont="1" applyFill="1" applyBorder="1"/>
    <xf numFmtId="0" fontId="0" fillId="3" borderId="2" xfId="0" applyFill="1" applyBorder="1"/>
    <xf numFmtId="0" fontId="0" fillId="3" borderId="3" xfId="0" applyFill="1" applyBorder="1" applyAlignment="1">
      <alignment horizontal="center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8" fillId="3" borderId="0" xfId="0" applyFont="1" applyFill="1" applyAlignment="1">
      <alignment horizontal="right"/>
    </xf>
    <xf numFmtId="1" fontId="8" fillId="3" borderId="0" xfId="0" applyNumberFormat="1" applyFont="1" applyFill="1" applyAlignment="1">
      <alignment horizontal="right"/>
    </xf>
    <xf numFmtId="0" fontId="0" fillId="3" borderId="4" xfId="0" applyFill="1" applyBorder="1"/>
    <xf numFmtId="0" fontId="0" fillId="3" borderId="5" xfId="0" applyFill="1" applyBorder="1"/>
    <xf numFmtId="0" fontId="8" fillId="3" borderId="1" xfId="0" applyFont="1" applyFill="1" applyBorder="1" applyAlignment="1">
      <alignment horizontal="right"/>
    </xf>
    <xf numFmtId="0" fontId="0" fillId="3" borderId="6" xfId="0" applyFill="1" applyBorder="1"/>
    <xf numFmtId="0" fontId="0" fillId="3" borderId="7" xfId="0" applyFill="1" applyBorder="1"/>
    <xf numFmtId="0" fontId="5" fillId="4" borderId="0" xfId="0" applyFont="1" applyFill="1"/>
    <xf numFmtId="0" fontId="19" fillId="4" borderId="0" xfId="0" applyFont="1" applyFill="1" applyAlignment="1">
      <alignment horizontal="center"/>
    </xf>
    <xf numFmtId="0" fontId="18" fillId="4" borderId="0" xfId="0" applyFont="1" applyFill="1" applyAlignment="1">
      <alignment horizontal="center"/>
    </xf>
    <xf numFmtId="0" fontId="20" fillId="4" borderId="0" xfId="0" applyFont="1" applyFill="1" applyAlignment="1">
      <alignment horizontal="center"/>
    </xf>
    <xf numFmtId="0" fontId="9" fillId="4" borderId="0" xfId="0" applyFont="1" applyFill="1"/>
    <xf numFmtId="0" fontId="8" fillId="4" borderId="0" xfId="0" applyFont="1" applyFill="1"/>
    <xf numFmtId="0" fontId="5" fillId="4" borderId="0" xfId="0" applyFont="1" applyFill="1" applyAlignment="1">
      <alignment horizontal="left"/>
    </xf>
    <xf numFmtId="0" fontId="15" fillId="0" borderId="4" xfId="0" applyFont="1" applyBorder="1"/>
    <xf numFmtId="0" fontId="16" fillId="0" borderId="8" xfId="0" applyFont="1" applyBorder="1"/>
    <xf numFmtId="0" fontId="15" fillId="0" borderId="8" xfId="0" applyFont="1" applyBorder="1"/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10" fillId="0" borderId="0" xfId="0" applyFont="1" applyAlignment="1">
      <alignment horizontal="left"/>
    </xf>
    <xf numFmtId="0" fontId="8" fillId="3" borderId="0" xfId="0" applyFont="1" applyFill="1" applyAlignment="1">
      <alignment horizontal="left"/>
    </xf>
    <xf numFmtId="0" fontId="18" fillId="4" borderId="0" xfId="0" applyFont="1" applyFill="1" applyAlignment="1">
      <alignment horizontal="left"/>
    </xf>
    <xf numFmtId="0" fontId="3" fillId="3" borderId="2" xfId="0" applyFont="1" applyFill="1" applyBorder="1" applyAlignment="1">
      <alignment horizontal="left"/>
    </xf>
    <xf numFmtId="0" fontId="0" fillId="3" borderId="9" xfId="0" applyFill="1" applyBorder="1"/>
    <xf numFmtId="0" fontId="22" fillId="0" borderId="8" xfId="0" applyFont="1" applyBorder="1" applyAlignment="1">
      <alignment horizontal="left"/>
    </xf>
    <xf numFmtId="0" fontId="9" fillId="4" borderId="0" xfId="0" applyFont="1" applyFill="1" applyAlignment="1">
      <alignment horizontal="left"/>
    </xf>
    <xf numFmtId="0" fontId="0" fillId="0" borderId="7" xfId="0" applyBorder="1"/>
    <xf numFmtId="164" fontId="9" fillId="4" borderId="0" xfId="0" applyNumberFormat="1" applyFont="1" applyFill="1"/>
    <xf numFmtId="0" fontId="23" fillId="2" borderId="0" xfId="0" applyFont="1" applyFill="1"/>
    <xf numFmtId="0" fontId="24" fillId="2" borderId="0" xfId="0" applyFont="1" applyFill="1"/>
    <xf numFmtId="0" fontId="17" fillId="3" borderId="10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7" fillId="5" borderId="11" xfId="0" applyFont="1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0" xfId="0" applyNumberFormat="1"/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1" fontId="1" fillId="0" borderId="11" xfId="0" applyNumberFormat="1" applyFont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0" fontId="0" fillId="3" borderId="9" xfId="0" applyFill="1" applyBorder="1" applyAlignment="1">
      <alignment horizontal="left"/>
    </xf>
    <xf numFmtId="0" fontId="13" fillId="3" borderId="14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164" fontId="0" fillId="3" borderId="11" xfId="0" applyNumberFormat="1" applyFill="1" applyBorder="1" applyAlignment="1">
      <alignment horizontal="center"/>
    </xf>
    <xf numFmtId="165" fontId="0" fillId="3" borderId="11" xfId="0" applyNumberFormat="1" applyFill="1" applyBorder="1" applyAlignment="1">
      <alignment horizontal="center"/>
    </xf>
    <xf numFmtId="0" fontId="17" fillId="8" borderId="7" xfId="0" applyFont="1" applyFill="1" applyBorder="1" applyAlignment="1">
      <alignment horizontal="center"/>
    </xf>
    <xf numFmtId="0" fontId="26" fillId="9" borderId="8" xfId="0" applyFont="1" applyFill="1" applyBorder="1" applyAlignment="1">
      <alignment horizontal="center" wrapText="1"/>
    </xf>
    <xf numFmtId="0" fontId="9" fillId="6" borderId="11" xfId="0" applyFont="1" applyFill="1" applyBorder="1"/>
    <xf numFmtId="0" fontId="0" fillId="6" borderId="0" xfId="0" applyFill="1"/>
    <xf numFmtId="0" fontId="27" fillId="0" borderId="0" xfId="1"/>
    <xf numFmtId="0" fontId="0" fillId="7" borderId="11" xfId="0" applyFill="1" applyBorder="1" applyAlignment="1">
      <alignment horizontal="center" vertical="center"/>
    </xf>
    <xf numFmtId="0" fontId="0" fillId="0" borderId="5" xfId="0" applyBorder="1"/>
    <xf numFmtId="0" fontId="17" fillId="0" borderId="11" xfId="0" applyFont="1" applyBorder="1" applyAlignment="1">
      <alignment horizontal="center" vertical="center"/>
    </xf>
    <xf numFmtId="0" fontId="1" fillId="6" borderId="11" xfId="0" quotePrefix="1" applyFont="1" applyFill="1" applyBorder="1" applyAlignment="1">
      <alignment horizontal="center" vertical="center"/>
    </xf>
    <xf numFmtId="0" fontId="28" fillId="6" borderId="0" xfId="0" applyFont="1" applyFill="1"/>
    <xf numFmtId="0" fontId="17" fillId="5" borderId="18" xfId="0" applyFont="1" applyFill="1" applyBorder="1" applyAlignment="1">
      <alignment horizontal="center"/>
    </xf>
    <xf numFmtId="0" fontId="0" fillId="0" borderId="11" xfId="0" applyBorder="1"/>
    <xf numFmtId="0" fontId="1" fillId="0" borderId="11" xfId="0" applyFont="1" applyBorder="1"/>
    <xf numFmtId="0" fontId="29" fillId="0" borderId="11" xfId="0" applyFont="1" applyBorder="1"/>
    <xf numFmtId="0" fontId="30" fillId="0" borderId="11" xfId="0" applyFont="1" applyBorder="1"/>
    <xf numFmtId="0" fontId="27" fillId="11" borderId="11" xfId="1" applyFill="1" applyBorder="1" applyAlignment="1">
      <alignment vertical="center" wrapText="1"/>
    </xf>
    <xf numFmtId="0" fontId="1" fillId="7" borderId="11" xfId="0" applyFont="1" applyFill="1" applyBorder="1" applyAlignment="1">
      <alignment horizontal="center" vertical="center"/>
    </xf>
    <xf numFmtId="0" fontId="23" fillId="10" borderId="12" xfId="0" applyFont="1" applyFill="1" applyBorder="1" applyAlignment="1">
      <alignment horizontal="center"/>
    </xf>
    <xf numFmtId="0" fontId="23" fillId="10" borderId="15" xfId="0" applyFont="1" applyFill="1" applyBorder="1" applyAlignment="1">
      <alignment horizontal="center"/>
    </xf>
    <xf numFmtId="0" fontId="23" fillId="10" borderId="13" xfId="0" applyFont="1" applyFill="1" applyBorder="1" applyAlignment="1">
      <alignment horizontal="center"/>
    </xf>
    <xf numFmtId="0" fontId="8" fillId="6" borderId="16" xfId="0" applyFont="1" applyFill="1" applyBorder="1" applyAlignment="1">
      <alignment horizontal="center"/>
    </xf>
    <xf numFmtId="0" fontId="8" fillId="6" borderId="17" xfId="0" applyFont="1" applyFill="1" applyBorder="1" applyAlignment="1">
      <alignment horizontal="center"/>
    </xf>
    <xf numFmtId="0" fontId="1" fillId="6" borderId="17" xfId="0" quotePrefix="1" applyFont="1" applyFill="1" applyBorder="1" applyAlignment="1">
      <alignment horizontal="center" vertical="center"/>
    </xf>
    <xf numFmtId="0" fontId="17" fillId="8" borderId="11" xfId="0" applyFont="1" applyFill="1" applyBorder="1" applyAlignment="1">
      <alignment horizontal="center"/>
    </xf>
    <xf numFmtId="0" fontId="27" fillId="11" borderId="11" xfId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2</xdr:col>
      <xdr:colOff>1047750</xdr:colOff>
      <xdr:row>17</xdr:row>
      <xdr:rowOff>0</xdr:rowOff>
    </xdr:to>
    <xdr:sp macro="" textlink="">
      <xdr:nvSpPr>
        <xdr:cNvPr id="1062" name="Rectangle 38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290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0894859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99880442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76498 / BLACK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2TONE RND SLVR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17</xdr:row>
      <xdr:rowOff>0</xdr:rowOff>
    </xdr:from>
    <xdr:to>
      <xdr:col>3</xdr:col>
      <xdr:colOff>0</xdr:colOff>
      <xdr:row>17</xdr:row>
      <xdr:rowOff>0</xdr:rowOff>
    </xdr:to>
    <xdr:sp macro="" textlink="">
      <xdr:nvSpPr>
        <xdr:cNvPr id="1155" name="Rectangle 131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4807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`</a:t>
          </a:r>
        </a:p>
      </xdr:txBody>
    </xdr:sp>
    <xdr:clientData/>
  </xdr:twoCellAnchor>
  <xdr:twoCellAnchor>
    <xdr:from>
      <xdr:col>0</xdr:col>
      <xdr:colOff>0</xdr:colOff>
      <xdr:row>44</xdr:row>
      <xdr:rowOff>28575</xdr:rowOff>
    </xdr:from>
    <xdr:to>
      <xdr:col>0</xdr:col>
      <xdr:colOff>0</xdr:colOff>
      <xdr:row>86</xdr:row>
      <xdr:rowOff>0</xdr:rowOff>
    </xdr:to>
    <xdr:sp macro="" textlink="">
      <xdr:nvSpPr>
        <xdr:cNvPr id="1199" name="Rectangle 175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0713393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19473921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6544 / WHT/ROSEGL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GLITTR HRT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44</xdr:row>
      <xdr:rowOff>28575</xdr:rowOff>
    </xdr:from>
    <xdr:to>
      <xdr:col>0</xdr:col>
      <xdr:colOff>0</xdr:colOff>
      <xdr:row>86</xdr:row>
      <xdr:rowOff>0</xdr:rowOff>
    </xdr:to>
    <xdr:sp macro="" textlink="">
      <xdr:nvSpPr>
        <xdr:cNvPr id="1202" name="Rectangle 178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0891402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20391494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6518/WHT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 -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PANDORA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83</xdr:row>
      <xdr:rowOff>0</xdr:rowOff>
    </xdr:from>
    <xdr:to>
      <xdr:col>0</xdr:col>
      <xdr:colOff>0</xdr:colOff>
      <xdr:row>83</xdr:row>
      <xdr:rowOff>0</xdr:rowOff>
    </xdr:to>
    <xdr:sp macro="" textlink="">
      <xdr:nvSpPr>
        <xdr:cNvPr id="1203" name="Rectangle 179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0751773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20790944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FJN00644/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MLTI CHN NCK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83</xdr:row>
      <xdr:rowOff>0</xdr:rowOff>
    </xdr:from>
    <xdr:to>
      <xdr:col>0</xdr:col>
      <xdr:colOff>0</xdr:colOff>
      <xdr:row>83</xdr:row>
      <xdr:rowOff>0</xdr:rowOff>
    </xdr:to>
    <xdr:sp macro="" textlink="">
      <xdr:nvSpPr>
        <xdr:cNvPr id="1204" name="Rectangle 180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0897768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20791149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FJN001157 / GOLD BLK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PRL TRDRP COLLR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42</xdr:row>
      <xdr:rowOff>28575</xdr:rowOff>
    </xdr:from>
    <xdr:to>
      <xdr:col>0</xdr:col>
      <xdr:colOff>0</xdr:colOff>
      <xdr:row>84</xdr:row>
      <xdr:rowOff>0</xdr:rowOff>
    </xdr:to>
    <xdr:sp macro="" textlink="">
      <xdr:nvSpPr>
        <xdr:cNvPr id="1210" name="Rectangle 186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SpPr>
          <a:spLocks noChangeArrowheads="1"/>
        </xdr:cNvSpPr>
      </xdr:nvSpPr>
      <xdr:spPr bwMode="auto">
        <a:xfrm>
          <a:off x="0" y="7181850"/>
          <a:ext cx="0" cy="2152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88</xdr:row>
      <xdr:rowOff>0</xdr:rowOff>
    </xdr:from>
    <xdr:to>
      <xdr:col>0</xdr:col>
      <xdr:colOff>0</xdr:colOff>
      <xdr:row>88</xdr:row>
      <xdr:rowOff>0</xdr:rowOff>
    </xdr:to>
    <xdr:sp macro="" textlink="">
      <xdr:nvSpPr>
        <xdr:cNvPr id="1211" name="Rectangle 187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SpPr>
          <a:spLocks noChangeArrowheads="1"/>
        </xdr:cNvSpPr>
      </xdr:nvSpPr>
      <xdr:spPr bwMode="auto">
        <a:xfrm>
          <a:off x="0" y="10115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89</xdr:row>
      <xdr:rowOff>0</xdr:rowOff>
    </xdr:from>
    <xdr:to>
      <xdr:col>0</xdr:col>
      <xdr:colOff>0</xdr:colOff>
      <xdr:row>89</xdr:row>
      <xdr:rowOff>0</xdr:rowOff>
    </xdr:to>
    <xdr:sp macro="" textlink="">
      <xdr:nvSpPr>
        <xdr:cNvPr id="1212" name="Rectangle 188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SpPr>
          <a:spLocks noChangeArrowheads="1"/>
        </xdr:cNvSpPr>
      </xdr:nvSpPr>
      <xdr:spPr bwMode="auto">
        <a:xfrm>
          <a:off x="0" y="10277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714375</xdr:colOff>
      <xdr:row>86</xdr:row>
      <xdr:rowOff>123825</xdr:rowOff>
    </xdr:from>
    <xdr:to>
      <xdr:col>0</xdr:col>
      <xdr:colOff>1000125</xdr:colOff>
      <xdr:row>89</xdr:row>
      <xdr:rowOff>152400</xdr:rowOff>
    </xdr:to>
    <xdr:cxnSp macro="">
      <xdr:nvCxnSpPr>
        <xdr:cNvPr id="1042" name="AutoShape 194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CxnSpPr>
          <a:cxnSpLocks noChangeShapeType="1"/>
        </xdr:cNvCxnSpPr>
      </xdr:nvCxnSpPr>
      <xdr:spPr bwMode="auto">
        <a:xfrm rot="-5400000">
          <a:off x="600075" y="4619625"/>
          <a:ext cx="514350" cy="285750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914400</xdr:colOff>
          <xdr:row>10</xdr:row>
          <xdr:rowOff>9525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0</xdr:rowOff>
        </xdr:from>
        <xdr:to>
          <xdr:col>1</xdr:col>
          <xdr:colOff>828675</xdr:colOff>
          <xdr:row>6</xdr:row>
          <xdr:rowOff>228600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7</xdr:row>
          <xdr:rowOff>12700</xdr:rowOff>
        </xdr:from>
        <xdr:to>
          <xdr:col>1</xdr:col>
          <xdr:colOff>828675</xdr:colOff>
          <xdr:row>8</xdr:row>
          <xdr:rowOff>38100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676275</xdr:colOff>
          <xdr:row>11</xdr:row>
          <xdr:rowOff>66675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6"/>
  <sheetViews>
    <sheetView tabSelected="1" topLeftCell="B5" zoomScaleNormal="100" workbookViewId="0">
      <selection activeCell="G23" sqref="G23"/>
    </sheetView>
  </sheetViews>
  <sheetFormatPr defaultRowHeight="12.5" x14ac:dyDescent="0.25"/>
  <cols>
    <col min="1" max="1" width="15.81640625" customWidth="1"/>
    <col min="2" max="2" width="22.81640625" customWidth="1"/>
    <col min="3" max="3" width="16" style="33" customWidth="1"/>
    <col min="4" max="4" width="21" customWidth="1"/>
    <col min="5" max="5" width="19.26953125" customWidth="1"/>
    <col min="6" max="6" width="18.81640625" customWidth="1"/>
    <col min="7" max="7" width="24.54296875" bestFit="1" customWidth="1"/>
    <col min="8" max="8" width="22.54296875" bestFit="1" customWidth="1"/>
    <col min="9" max="12" width="17.7265625" customWidth="1"/>
    <col min="13" max="13" width="23.54296875" bestFit="1" customWidth="1"/>
    <col min="14" max="14" width="25.54296875" customWidth="1"/>
    <col min="15" max="15" width="16.81640625" customWidth="1"/>
    <col min="17" max="17" width="16.81640625" bestFit="1" customWidth="1"/>
    <col min="18" max="18" width="21.7265625" customWidth="1"/>
  </cols>
  <sheetData>
    <row r="1" spans="1:17" ht="13" thickBot="1" x14ac:dyDescent="0.3"/>
    <row r="2" spans="1:17" ht="23.5" thickBot="1" x14ac:dyDescent="0.55000000000000004">
      <c r="E2" s="80" t="s">
        <v>32</v>
      </c>
      <c r="F2" s="81"/>
      <c r="G2" s="82"/>
    </row>
    <row r="4" spans="1:17" ht="18" x14ac:dyDescent="0.4">
      <c r="A4" s="1" t="s">
        <v>0</v>
      </c>
      <c r="D4" s="65" t="s">
        <v>37</v>
      </c>
    </row>
    <row r="5" spans="1:17" ht="15.5" x14ac:dyDescent="0.35">
      <c r="D5" s="65" t="s">
        <v>38</v>
      </c>
    </row>
    <row r="7" spans="1:17" ht="20" x14ac:dyDescent="0.4">
      <c r="A7" s="66" t="s">
        <v>1</v>
      </c>
      <c r="C7" s="83" t="s">
        <v>33</v>
      </c>
      <c r="D7" s="84"/>
      <c r="E7" s="67" t="s">
        <v>42</v>
      </c>
      <c r="F7" s="72" t="s">
        <v>39</v>
      </c>
      <c r="G7" s="72"/>
      <c r="H7" s="72"/>
      <c r="I7" s="66"/>
    </row>
    <row r="8" spans="1:17" ht="14" x14ac:dyDescent="0.3">
      <c r="D8" s="2"/>
      <c r="E8" s="2"/>
      <c r="F8" s="2"/>
    </row>
    <row r="9" spans="1:17" ht="14" x14ac:dyDescent="0.3">
      <c r="D9" s="2"/>
      <c r="E9" s="2"/>
      <c r="F9" s="2"/>
    </row>
    <row r="10" spans="1:17" ht="20" x14ac:dyDescent="0.4">
      <c r="A10" t="s">
        <v>2</v>
      </c>
      <c r="C10" s="34" t="s">
        <v>5</v>
      </c>
      <c r="D10" s="2" t="s">
        <v>2</v>
      </c>
    </row>
    <row r="12" spans="1:17" ht="18" x14ac:dyDescent="0.4">
      <c r="C12" s="35"/>
    </row>
    <row r="13" spans="1:17" ht="13" thickBot="1" x14ac:dyDescent="0.3"/>
    <row r="14" spans="1:17" ht="14.25" hidden="1" customHeight="1" x14ac:dyDescent="0.25"/>
    <row r="15" spans="1:17" ht="33" hidden="1" customHeight="1" x14ac:dyDescent="0.65">
      <c r="A15" s="8" t="s">
        <v>3</v>
      </c>
      <c r="C15" s="36"/>
      <c r="E15" s="13"/>
      <c r="F15" s="14"/>
      <c r="G15" s="15"/>
      <c r="H15" s="15"/>
      <c r="I15" s="15"/>
      <c r="J15" s="15"/>
      <c r="K15" s="15"/>
      <c r="L15" s="15"/>
      <c r="M15" s="15"/>
      <c r="N15" s="14"/>
      <c r="O15" s="14"/>
      <c r="P15" s="14"/>
      <c r="Q15" s="14"/>
    </row>
    <row r="16" spans="1:17" ht="33" hidden="1" customHeight="1" x14ac:dyDescent="0.65">
      <c r="E16" s="13"/>
      <c r="F16" s="14"/>
      <c r="G16" s="15"/>
      <c r="H16" s="15"/>
      <c r="I16" s="15"/>
      <c r="J16" s="15"/>
      <c r="K16" s="15"/>
      <c r="L16" s="15"/>
      <c r="M16" s="15"/>
      <c r="N16" s="14"/>
      <c r="O16" s="14"/>
      <c r="P16" s="14"/>
      <c r="Q16" s="14"/>
    </row>
    <row r="17" spans="1:14" ht="24" hidden="1" customHeight="1" thickBot="1" x14ac:dyDescent="0.55000000000000004">
      <c r="A17" s="5"/>
      <c r="B17" s="4"/>
      <c r="C17" s="47" t="s">
        <v>23</v>
      </c>
      <c r="D17" s="48"/>
      <c r="E17" s="48"/>
      <c r="F17" s="3"/>
    </row>
    <row r="18" spans="1:14" ht="33" thickBot="1" x14ac:dyDescent="0.7">
      <c r="A18" s="30"/>
      <c r="B18" s="43" t="s">
        <v>10</v>
      </c>
      <c r="C18" s="31"/>
      <c r="D18" s="31"/>
      <c r="E18" s="32"/>
      <c r="F18" s="32"/>
      <c r="G18" s="32"/>
      <c r="H18" s="64" t="s">
        <v>31</v>
      </c>
      <c r="I18" s="31"/>
      <c r="J18" s="31"/>
      <c r="K18" s="31"/>
      <c r="L18" s="31"/>
      <c r="M18" s="31"/>
      <c r="N18" s="45"/>
    </row>
    <row r="19" spans="1:14" ht="13" x14ac:dyDescent="0.3">
      <c r="A19" s="69"/>
      <c r="B19" s="86" t="s">
        <v>14</v>
      </c>
      <c r="C19" s="86" t="s">
        <v>20</v>
      </c>
      <c r="D19" s="86" t="s">
        <v>15</v>
      </c>
      <c r="E19" s="86" t="s">
        <v>21</v>
      </c>
      <c r="F19" s="86" t="s">
        <v>17</v>
      </c>
      <c r="G19" s="86" t="s">
        <v>18</v>
      </c>
      <c r="H19" s="86" t="s">
        <v>34</v>
      </c>
      <c r="I19" s="86" t="s">
        <v>16</v>
      </c>
      <c r="J19" s="86" t="s">
        <v>35</v>
      </c>
      <c r="K19" s="86" t="s">
        <v>36</v>
      </c>
      <c r="L19" s="86" t="s">
        <v>40</v>
      </c>
      <c r="M19" s="86" t="s">
        <v>41</v>
      </c>
      <c r="N19" s="63" t="s">
        <v>22</v>
      </c>
    </row>
    <row r="20" spans="1:14" ht="13" x14ac:dyDescent="0.25">
      <c r="A20" s="70">
        <v>1</v>
      </c>
      <c r="B20" s="54" t="s">
        <v>47</v>
      </c>
      <c r="C20" s="54" t="s">
        <v>48</v>
      </c>
      <c r="D20" s="54" t="str">
        <f t="shared" ref="D20:E23" si="0">B20&amp;"-"&amp;C20</f>
        <v>EHH342-42-BMT</v>
      </c>
      <c r="E20" s="54" t="str">
        <f t="shared" si="0"/>
        <v>BMT-EHH342-42-BMT</v>
      </c>
      <c r="F20" s="50" t="s">
        <v>46</v>
      </c>
      <c r="G20" s="50" t="s">
        <v>51</v>
      </c>
      <c r="H20" s="79">
        <v>98001533</v>
      </c>
      <c r="I20" s="54">
        <v>417</v>
      </c>
      <c r="J20" s="54">
        <v>1751802</v>
      </c>
      <c r="K20" s="54" t="s">
        <v>49</v>
      </c>
      <c r="L20" s="50"/>
      <c r="M20" s="87"/>
      <c r="N20" s="85"/>
    </row>
    <row r="21" spans="1:14" ht="13" x14ac:dyDescent="0.25">
      <c r="A21" s="70">
        <v>2</v>
      </c>
      <c r="B21" s="54" t="s">
        <v>47</v>
      </c>
      <c r="C21" s="54" t="s">
        <v>48</v>
      </c>
      <c r="D21" s="54" t="str">
        <f t="shared" si="0"/>
        <v>EHH342-42-BMT</v>
      </c>
      <c r="E21" s="54" t="str">
        <f t="shared" si="0"/>
        <v>BMT-EHH342-42-BMT</v>
      </c>
      <c r="F21" s="50" t="s">
        <v>46</v>
      </c>
      <c r="G21" s="50" t="s">
        <v>51</v>
      </c>
      <c r="H21" s="79"/>
      <c r="I21" s="54">
        <v>183</v>
      </c>
      <c r="J21" s="54">
        <v>1751803</v>
      </c>
      <c r="K21" s="54" t="s">
        <v>50</v>
      </c>
      <c r="L21" s="50"/>
      <c r="M21" s="87"/>
      <c r="N21" s="85"/>
    </row>
    <row r="22" spans="1:14" ht="13" x14ac:dyDescent="0.25">
      <c r="A22" s="70">
        <v>3</v>
      </c>
      <c r="B22" s="74"/>
      <c r="C22" s="74"/>
      <c r="D22" s="74"/>
      <c r="E22" s="74"/>
      <c r="F22" s="75"/>
      <c r="G22" s="75"/>
      <c r="H22" s="79"/>
      <c r="I22" s="74"/>
      <c r="J22" s="74"/>
      <c r="K22" s="74"/>
      <c r="L22" s="75"/>
      <c r="M22" s="78"/>
      <c r="N22" s="85"/>
    </row>
    <row r="23" spans="1:14" ht="13" x14ac:dyDescent="0.25">
      <c r="A23" s="70">
        <v>4</v>
      </c>
      <c r="B23" s="74"/>
      <c r="C23" s="74"/>
      <c r="D23" s="74"/>
      <c r="E23" s="74"/>
      <c r="F23" s="75"/>
      <c r="G23" s="74"/>
      <c r="H23" s="79"/>
      <c r="I23" s="74"/>
      <c r="J23" s="74"/>
      <c r="K23" s="74"/>
      <c r="L23" s="75"/>
      <c r="M23" s="78"/>
      <c r="N23" s="85"/>
    </row>
    <row r="24" spans="1:14" ht="13" x14ac:dyDescent="0.25">
      <c r="A24" s="70">
        <v>5</v>
      </c>
      <c r="B24" s="74"/>
      <c r="C24" s="74"/>
      <c r="D24" s="74"/>
      <c r="E24" s="74"/>
      <c r="F24" s="75"/>
      <c r="G24" s="74"/>
      <c r="H24" s="79"/>
      <c r="I24" s="74"/>
      <c r="J24" s="74"/>
      <c r="K24" s="74"/>
      <c r="L24" s="75"/>
      <c r="M24" s="78"/>
      <c r="N24" s="85"/>
    </row>
    <row r="25" spans="1:14" ht="13" x14ac:dyDescent="0.25">
      <c r="A25" s="70">
        <v>6</v>
      </c>
      <c r="B25" s="74"/>
      <c r="C25" s="74"/>
      <c r="D25" s="74"/>
      <c r="E25" s="74"/>
      <c r="F25" s="75"/>
      <c r="G25" s="74"/>
      <c r="H25" s="79"/>
      <c r="I25" s="74"/>
      <c r="J25" s="74"/>
      <c r="K25" s="74"/>
      <c r="L25" s="75"/>
      <c r="M25" s="78"/>
      <c r="N25" s="85"/>
    </row>
    <row r="26" spans="1:14" ht="13" x14ac:dyDescent="0.25">
      <c r="A26" s="70">
        <v>7</v>
      </c>
      <c r="B26" s="74"/>
      <c r="C26" s="74"/>
      <c r="D26" s="75"/>
      <c r="E26" s="74"/>
      <c r="F26" s="75"/>
      <c r="G26" s="74"/>
      <c r="H26" s="79"/>
      <c r="I26" s="74"/>
      <c r="J26" s="74"/>
      <c r="K26" s="74"/>
      <c r="L26" s="75"/>
      <c r="M26" s="78"/>
      <c r="N26" s="85"/>
    </row>
    <row r="27" spans="1:14" ht="13" x14ac:dyDescent="0.25">
      <c r="A27" s="70">
        <v>8</v>
      </c>
      <c r="B27" s="74"/>
      <c r="C27" s="74"/>
      <c r="D27" s="75"/>
      <c r="E27" s="74"/>
      <c r="F27" s="75"/>
      <c r="G27" s="74"/>
      <c r="H27" s="79"/>
      <c r="I27" s="74"/>
      <c r="J27" s="74"/>
      <c r="K27" s="74"/>
      <c r="L27" s="75"/>
      <c r="M27" s="78"/>
      <c r="N27" s="85"/>
    </row>
    <row r="28" spans="1:14" ht="13" x14ac:dyDescent="0.25">
      <c r="A28" s="70">
        <v>9</v>
      </c>
      <c r="B28" s="74"/>
      <c r="C28" s="74"/>
      <c r="D28" s="74"/>
      <c r="E28" s="74"/>
      <c r="F28" s="75"/>
      <c r="G28" s="74"/>
      <c r="H28" s="79"/>
      <c r="I28" s="74"/>
      <c r="J28" s="74"/>
      <c r="K28" s="74"/>
      <c r="L28" s="75"/>
      <c r="M28" s="78"/>
      <c r="N28" s="85"/>
    </row>
    <row r="29" spans="1:14" ht="13" x14ac:dyDescent="0.25">
      <c r="A29" s="70">
        <v>10</v>
      </c>
      <c r="B29" s="74"/>
      <c r="C29" s="74"/>
      <c r="D29" s="74"/>
      <c r="E29" s="74"/>
      <c r="F29" s="75"/>
      <c r="G29" s="75"/>
      <c r="H29" s="79"/>
      <c r="I29" s="74"/>
      <c r="J29" s="74"/>
      <c r="K29" s="74"/>
      <c r="L29" s="75"/>
      <c r="M29" s="78"/>
      <c r="N29" s="85"/>
    </row>
    <row r="30" spans="1:14" ht="13" x14ac:dyDescent="0.25">
      <c r="A30" s="70">
        <v>11</v>
      </c>
      <c r="B30" s="74"/>
      <c r="C30" s="74"/>
      <c r="D30" s="74"/>
      <c r="E30" s="74"/>
      <c r="F30" s="75"/>
      <c r="G30" s="74"/>
      <c r="H30" s="79"/>
      <c r="I30" s="74"/>
      <c r="J30" s="74"/>
      <c r="K30" s="74"/>
      <c r="L30" s="75"/>
      <c r="M30" s="78"/>
      <c r="N30" s="85"/>
    </row>
    <row r="31" spans="1:14" ht="13" x14ac:dyDescent="0.25">
      <c r="A31" s="70">
        <v>12</v>
      </c>
      <c r="B31" s="74"/>
      <c r="C31" s="74"/>
      <c r="D31" s="74"/>
      <c r="E31" s="74"/>
      <c r="F31" s="75"/>
      <c r="G31" s="74"/>
      <c r="H31" s="79"/>
      <c r="I31" s="74"/>
      <c r="J31" s="74"/>
      <c r="K31" s="74"/>
      <c r="L31" s="75"/>
      <c r="M31" s="78"/>
      <c r="N31" s="85"/>
    </row>
    <row r="32" spans="1:14" ht="13" x14ac:dyDescent="0.25">
      <c r="A32" s="70">
        <v>13</v>
      </c>
      <c r="B32" s="74"/>
      <c r="C32" s="74"/>
      <c r="D32" s="74"/>
      <c r="E32" s="74"/>
      <c r="F32" s="75"/>
      <c r="G32" s="74"/>
      <c r="H32" s="68"/>
      <c r="I32" s="74"/>
      <c r="J32" s="74"/>
      <c r="K32" s="74"/>
      <c r="L32" s="75"/>
      <c r="M32" s="78"/>
      <c r="N32" s="71"/>
    </row>
    <row r="33" spans="1:14" ht="13" x14ac:dyDescent="0.25">
      <c r="A33" s="70">
        <v>14</v>
      </c>
      <c r="B33" s="74"/>
      <c r="C33" s="74"/>
      <c r="D33" s="74"/>
      <c r="E33" s="74"/>
      <c r="F33" s="75"/>
      <c r="G33" s="74"/>
      <c r="H33" s="68"/>
      <c r="I33" s="74"/>
      <c r="J33" s="74"/>
      <c r="K33" s="74"/>
      <c r="L33" s="75"/>
      <c r="M33" s="78"/>
      <c r="N33" s="71"/>
    </row>
    <row r="34" spans="1:14" ht="13" x14ac:dyDescent="0.25">
      <c r="A34" s="70">
        <v>15</v>
      </c>
      <c r="B34" s="74"/>
      <c r="C34" s="74"/>
      <c r="D34" s="74"/>
      <c r="E34" s="74"/>
      <c r="F34" s="75"/>
      <c r="G34" s="74"/>
      <c r="H34" s="68"/>
      <c r="I34" s="74"/>
      <c r="J34" s="74"/>
      <c r="K34" s="74"/>
      <c r="L34" s="75"/>
      <c r="M34" s="78"/>
      <c r="N34" s="71"/>
    </row>
    <row r="35" spans="1:14" ht="13" x14ac:dyDescent="0.25">
      <c r="A35" s="70">
        <v>16</v>
      </c>
      <c r="B35" s="74"/>
      <c r="C35" s="74"/>
      <c r="D35" s="74"/>
      <c r="E35" s="74"/>
      <c r="F35" s="75"/>
      <c r="G35" s="74"/>
      <c r="H35" s="68"/>
      <c r="I35" s="74"/>
      <c r="J35" s="74"/>
      <c r="K35" s="74"/>
      <c r="L35" s="75"/>
      <c r="M35" s="78"/>
      <c r="N35" s="71"/>
    </row>
    <row r="36" spans="1:14" ht="13" x14ac:dyDescent="0.25">
      <c r="A36" s="70">
        <v>17</v>
      </c>
      <c r="B36" s="74"/>
      <c r="C36" s="74"/>
      <c r="D36" s="74"/>
      <c r="E36" s="74"/>
      <c r="F36" s="75"/>
      <c r="G36" s="74"/>
      <c r="H36" s="68"/>
      <c r="I36" s="74"/>
      <c r="J36" s="74"/>
      <c r="K36" s="74"/>
      <c r="L36" s="75"/>
      <c r="M36" s="78"/>
      <c r="N36" s="71"/>
    </row>
    <row r="37" spans="1:14" ht="13" x14ac:dyDescent="0.25">
      <c r="A37" s="70">
        <v>18</v>
      </c>
      <c r="B37" s="74"/>
      <c r="C37" s="74"/>
      <c r="D37" s="74"/>
      <c r="E37" s="74"/>
      <c r="F37" s="75"/>
      <c r="G37" s="74"/>
      <c r="H37" s="68"/>
      <c r="I37" s="74"/>
      <c r="J37" s="74"/>
      <c r="K37" s="74"/>
      <c r="L37" s="75"/>
      <c r="M37" s="78"/>
      <c r="N37" s="71"/>
    </row>
    <row r="38" spans="1:14" ht="13" x14ac:dyDescent="0.25">
      <c r="A38" s="70">
        <v>19</v>
      </c>
      <c r="B38" s="74"/>
      <c r="C38" s="74"/>
      <c r="D38" s="74"/>
      <c r="E38" s="74"/>
      <c r="F38" s="75"/>
      <c r="G38" s="74"/>
      <c r="H38" s="68"/>
      <c r="I38" s="74"/>
      <c r="J38" s="74"/>
      <c r="K38" s="74"/>
      <c r="L38" s="75"/>
      <c r="M38" s="78"/>
      <c r="N38" s="71"/>
    </row>
    <row r="39" spans="1:14" ht="13" x14ac:dyDescent="0.25">
      <c r="A39" s="70">
        <v>20</v>
      </c>
      <c r="B39" s="74"/>
      <c r="C39" s="74"/>
      <c r="D39" s="74"/>
      <c r="E39" s="74"/>
      <c r="F39" s="75"/>
      <c r="G39" s="74"/>
      <c r="H39" s="68"/>
      <c r="I39" s="74"/>
      <c r="J39" s="74"/>
      <c r="K39" s="74"/>
      <c r="L39" s="75"/>
      <c r="M39" s="78"/>
      <c r="N39" s="71"/>
    </row>
    <row r="40" spans="1:14" ht="13" x14ac:dyDescent="0.25">
      <c r="A40" s="70">
        <v>21</v>
      </c>
      <c r="B40" s="74"/>
      <c r="C40" s="74"/>
      <c r="D40" s="74"/>
      <c r="E40" s="74"/>
      <c r="F40" s="78"/>
      <c r="G40" s="76"/>
      <c r="H40" s="68"/>
      <c r="I40" s="74"/>
      <c r="J40" s="74"/>
      <c r="K40" s="74"/>
      <c r="L40" s="75"/>
      <c r="M40" s="78"/>
      <c r="N40" s="71"/>
    </row>
    <row r="41" spans="1:14" ht="13" x14ac:dyDescent="0.25">
      <c r="A41" s="70">
        <v>22</v>
      </c>
      <c r="B41" s="74"/>
      <c r="C41" s="74"/>
      <c r="D41" s="74"/>
      <c r="E41" s="74"/>
      <c r="F41" s="78"/>
      <c r="G41" s="76"/>
      <c r="H41" s="68"/>
      <c r="I41" s="74"/>
      <c r="J41" s="74"/>
      <c r="K41" s="74"/>
      <c r="L41" s="75"/>
      <c r="M41" s="78"/>
      <c r="N41" s="71"/>
    </row>
    <row r="42" spans="1:14" ht="13" x14ac:dyDescent="0.25">
      <c r="A42" s="70">
        <v>23</v>
      </c>
      <c r="B42" s="74"/>
      <c r="C42" s="74"/>
      <c r="D42" s="74"/>
      <c r="E42" s="74"/>
      <c r="F42" s="75"/>
      <c r="G42" s="74"/>
      <c r="H42" s="68"/>
      <c r="I42" s="74"/>
      <c r="J42" s="74"/>
      <c r="K42" s="74"/>
      <c r="L42" s="75"/>
      <c r="M42" s="78"/>
      <c r="N42" s="71"/>
    </row>
    <row r="43" spans="1:14" ht="13" x14ac:dyDescent="0.25">
      <c r="A43" s="70">
        <v>24</v>
      </c>
      <c r="B43" s="74"/>
      <c r="C43" s="74"/>
      <c r="D43" s="74"/>
      <c r="E43" s="74"/>
      <c r="F43" s="75"/>
      <c r="G43" s="74"/>
      <c r="H43" s="68"/>
      <c r="I43" s="74"/>
      <c r="J43" s="74"/>
      <c r="K43" s="74"/>
      <c r="L43" s="75"/>
      <c r="M43" s="78"/>
      <c r="N43" s="71"/>
    </row>
    <row r="44" spans="1:14" ht="13" x14ac:dyDescent="0.25">
      <c r="A44" s="70">
        <v>25</v>
      </c>
      <c r="B44" s="74"/>
      <c r="C44" s="74"/>
      <c r="D44" s="74"/>
      <c r="E44" s="74"/>
      <c r="F44" s="75"/>
      <c r="G44" s="74"/>
      <c r="H44" s="68"/>
      <c r="I44" s="74"/>
      <c r="J44" s="74"/>
      <c r="K44" s="74"/>
      <c r="L44" s="75"/>
      <c r="M44" s="78"/>
      <c r="N44" s="71"/>
    </row>
    <row r="45" spans="1:14" ht="13" x14ac:dyDescent="0.25">
      <c r="A45" s="70">
        <v>26</v>
      </c>
      <c r="B45" s="74"/>
      <c r="C45" s="74"/>
      <c r="D45" s="74"/>
      <c r="E45" s="74"/>
      <c r="F45" s="75"/>
      <c r="G45" s="74"/>
      <c r="H45" s="68"/>
      <c r="I45" s="74"/>
      <c r="J45" s="74"/>
      <c r="K45" s="74"/>
      <c r="L45" s="75"/>
      <c r="M45" s="78"/>
      <c r="N45" s="71"/>
    </row>
    <row r="46" spans="1:14" ht="13" x14ac:dyDescent="0.25">
      <c r="A46" s="70">
        <v>27</v>
      </c>
      <c r="B46" s="74"/>
      <c r="C46" s="74"/>
      <c r="D46" s="74"/>
      <c r="E46" s="74"/>
      <c r="F46" s="75"/>
      <c r="G46" s="74"/>
      <c r="H46" s="68"/>
      <c r="I46" s="74"/>
      <c r="J46" s="74"/>
      <c r="K46" s="74"/>
      <c r="L46" s="75"/>
      <c r="M46" s="78"/>
      <c r="N46" s="71"/>
    </row>
    <row r="47" spans="1:14" ht="13" x14ac:dyDescent="0.25">
      <c r="A47" s="70">
        <v>28</v>
      </c>
      <c r="B47" s="74"/>
      <c r="C47" s="74"/>
      <c r="D47" s="74"/>
      <c r="E47" s="74"/>
      <c r="F47" s="75"/>
      <c r="G47" s="74"/>
      <c r="H47" s="68"/>
      <c r="I47" s="74"/>
      <c r="J47" s="74"/>
      <c r="K47" s="74"/>
      <c r="L47" s="75"/>
      <c r="M47" s="78"/>
      <c r="N47" s="71"/>
    </row>
    <row r="48" spans="1:14" ht="13" x14ac:dyDescent="0.25">
      <c r="A48" s="70">
        <v>29</v>
      </c>
      <c r="B48" s="74"/>
      <c r="C48" s="74"/>
      <c r="D48" s="75"/>
      <c r="E48" s="75"/>
      <c r="F48" s="78"/>
      <c r="G48" s="78"/>
      <c r="H48" s="68"/>
      <c r="I48" s="74"/>
      <c r="J48" s="74"/>
      <c r="K48" s="74"/>
      <c r="L48" s="75"/>
      <c r="M48" s="78"/>
      <c r="N48" s="71"/>
    </row>
    <row r="49" spans="1:14" ht="13" x14ac:dyDescent="0.25">
      <c r="A49" s="70">
        <v>30</v>
      </c>
      <c r="B49" s="74"/>
      <c r="C49" s="74"/>
      <c r="D49" s="75"/>
      <c r="E49" s="75"/>
      <c r="F49" s="78"/>
      <c r="G49" s="78"/>
      <c r="H49" s="68"/>
      <c r="I49" s="74"/>
      <c r="J49" s="74"/>
      <c r="K49" s="74"/>
      <c r="L49" s="75"/>
      <c r="M49" s="78"/>
      <c r="N49" s="71"/>
    </row>
    <row r="50" spans="1:14" ht="13" x14ac:dyDescent="0.25">
      <c r="A50" s="70">
        <v>31</v>
      </c>
      <c r="B50" s="74"/>
      <c r="C50" s="74"/>
      <c r="D50" s="75"/>
      <c r="E50" s="75"/>
      <c r="F50" s="78"/>
      <c r="G50" s="78"/>
      <c r="H50" s="68"/>
      <c r="I50" s="74"/>
      <c r="J50" s="74"/>
      <c r="K50" s="74"/>
      <c r="L50" s="75"/>
      <c r="M50" s="78"/>
      <c r="N50" s="71"/>
    </row>
    <row r="51" spans="1:14" ht="13" x14ac:dyDescent="0.25">
      <c r="A51" s="70">
        <v>32</v>
      </c>
      <c r="B51" s="74"/>
      <c r="C51" s="74"/>
      <c r="D51" s="75"/>
      <c r="E51" s="75"/>
      <c r="F51" s="78"/>
      <c r="G51" s="78"/>
      <c r="H51" s="68"/>
      <c r="I51" s="74"/>
      <c r="J51" s="74"/>
      <c r="K51" s="74"/>
      <c r="L51" s="75"/>
      <c r="M51" s="78"/>
      <c r="N51" s="71"/>
    </row>
    <row r="52" spans="1:14" ht="13" x14ac:dyDescent="0.25">
      <c r="A52" s="70">
        <v>33</v>
      </c>
      <c r="B52" s="74"/>
      <c r="C52" s="74"/>
      <c r="D52" s="74"/>
      <c r="E52" s="74"/>
      <c r="F52" s="78"/>
      <c r="G52" s="78"/>
      <c r="H52" s="68"/>
      <c r="I52" s="74"/>
      <c r="J52" s="74"/>
      <c r="K52" s="74"/>
      <c r="L52" s="75"/>
      <c r="M52" s="78"/>
      <c r="N52" s="71"/>
    </row>
    <row r="53" spans="1:14" ht="13" x14ac:dyDescent="0.25">
      <c r="A53" s="70">
        <v>34</v>
      </c>
      <c r="B53" s="74"/>
      <c r="C53" s="74"/>
      <c r="D53" s="74"/>
      <c r="E53" s="74"/>
      <c r="F53" s="78"/>
      <c r="G53" s="76"/>
      <c r="H53" s="68"/>
      <c r="I53" s="74"/>
      <c r="J53" s="74"/>
      <c r="K53" s="74"/>
      <c r="L53" s="75"/>
      <c r="M53" s="78"/>
      <c r="N53" s="71"/>
    </row>
    <row r="54" spans="1:14" ht="13" x14ac:dyDescent="0.25">
      <c r="A54" s="70">
        <v>35</v>
      </c>
      <c r="B54" s="74"/>
      <c r="C54" s="74"/>
      <c r="D54" s="74"/>
      <c r="E54" s="74"/>
      <c r="F54" s="78"/>
      <c r="G54" s="76"/>
      <c r="H54" s="68"/>
      <c r="I54" s="74"/>
      <c r="J54" s="74"/>
      <c r="K54" s="74"/>
      <c r="L54" s="75"/>
      <c r="M54" s="78"/>
      <c r="N54" s="71"/>
    </row>
    <row r="55" spans="1:14" ht="13" x14ac:dyDescent="0.25">
      <c r="A55" s="70">
        <v>36</v>
      </c>
      <c r="B55" s="74"/>
      <c r="C55" s="74"/>
      <c r="D55" s="74"/>
      <c r="E55" s="74"/>
      <c r="F55" s="75"/>
      <c r="G55" s="74"/>
      <c r="H55" s="68"/>
      <c r="I55" s="74"/>
      <c r="J55" s="74"/>
      <c r="K55" s="74"/>
      <c r="L55" s="75"/>
      <c r="M55" s="78"/>
      <c r="N55" s="71"/>
    </row>
    <row r="56" spans="1:14" ht="13" x14ac:dyDescent="0.25">
      <c r="A56" s="70">
        <v>37</v>
      </c>
      <c r="B56" s="74"/>
      <c r="C56" s="74"/>
      <c r="D56" s="74"/>
      <c r="E56" s="74"/>
      <c r="F56" s="75"/>
      <c r="G56" s="74"/>
      <c r="H56" s="68"/>
      <c r="I56" s="74"/>
      <c r="J56" s="74"/>
      <c r="K56" s="74"/>
      <c r="L56" s="75"/>
      <c r="M56" s="78"/>
      <c r="N56" s="71"/>
    </row>
    <row r="57" spans="1:14" ht="13" x14ac:dyDescent="0.25">
      <c r="A57" s="70">
        <v>38</v>
      </c>
      <c r="B57" s="74"/>
      <c r="C57" s="74"/>
      <c r="D57" s="74"/>
      <c r="E57" s="74"/>
      <c r="F57" s="75"/>
      <c r="G57" s="74"/>
      <c r="H57" s="68"/>
      <c r="I57" s="74"/>
      <c r="J57" s="74"/>
      <c r="K57" s="74"/>
      <c r="L57" s="75"/>
      <c r="M57" s="78"/>
      <c r="N57" s="71"/>
    </row>
    <row r="58" spans="1:14" ht="13" x14ac:dyDescent="0.25">
      <c r="A58" s="70">
        <v>39</v>
      </c>
      <c r="B58" s="74"/>
      <c r="C58" s="74"/>
      <c r="D58" s="74"/>
      <c r="E58" s="74"/>
      <c r="F58" s="75"/>
      <c r="G58" s="74"/>
      <c r="H58" s="68"/>
      <c r="I58" s="74"/>
      <c r="J58" s="74"/>
      <c r="K58" s="74"/>
      <c r="L58" s="75"/>
      <c r="M58" s="78"/>
      <c r="N58" s="71"/>
    </row>
    <row r="59" spans="1:14" ht="13" x14ac:dyDescent="0.25">
      <c r="A59" s="70">
        <v>40</v>
      </c>
      <c r="B59" s="74"/>
      <c r="C59" s="74"/>
      <c r="D59" s="74"/>
      <c r="E59" s="74"/>
      <c r="F59" s="75"/>
      <c r="G59" s="74"/>
      <c r="H59" s="68"/>
      <c r="I59" s="74"/>
      <c r="J59" s="74"/>
      <c r="K59" s="74"/>
      <c r="L59" s="75"/>
      <c r="M59" s="78"/>
      <c r="N59" s="71"/>
    </row>
    <row r="60" spans="1:14" ht="13" x14ac:dyDescent="0.25">
      <c r="A60" s="70">
        <v>41</v>
      </c>
      <c r="B60" s="74"/>
      <c r="C60" s="74"/>
      <c r="D60" s="74"/>
      <c r="E60" s="74"/>
      <c r="F60" s="75"/>
      <c r="G60" s="74"/>
      <c r="H60" s="68"/>
      <c r="I60" s="74"/>
      <c r="J60" s="74"/>
      <c r="K60" s="74"/>
      <c r="L60" s="75"/>
      <c r="M60" s="78"/>
      <c r="N60" s="71"/>
    </row>
    <row r="61" spans="1:14" ht="13" x14ac:dyDescent="0.25">
      <c r="A61" s="70">
        <v>42</v>
      </c>
      <c r="B61" s="74"/>
      <c r="C61" s="74"/>
      <c r="D61" s="74"/>
      <c r="E61" s="74"/>
      <c r="F61" s="75"/>
      <c r="G61" s="74"/>
      <c r="H61" s="68"/>
      <c r="I61" s="74"/>
      <c r="J61" s="74"/>
      <c r="K61" s="74"/>
      <c r="L61" s="75"/>
      <c r="M61" s="78"/>
      <c r="N61" s="71"/>
    </row>
    <row r="62" spans="1:14" ht="13" x14ac:dyDescent="0.25">
      <c r="A62" s="70">
        <v>43</v>
      </c>
      <c r="B62" s="74"/>
      <c r="C62" s="74"/>
      <c r="D62" s="74"/>
      <c r="E62" s="74"/>
      <c r="F62" s="75"/>
      <c r="G62" s="74"/>
      <c r="H62" s="68"/>
      <c r="I62" s="74"/>
      <c r="J62" s="74"/>
      <c r="K62" s="74"/>
      <c r="L62" s="75"/>
      <c r="M62" s="78"/>
      <c r="N62" s="71"/>
    </row>
    <row r="63" spans="1:14" ht="13" x14ac:dyDescent="0.25">
      <c r="A63" s="70">
        <v>44</v>
      </c>
      <c r="B63" s="74"/>
      <c r="C63" s="74"/>
      <c r="D63" s="74"/>
      <c r="E63" s="74"/>
      <c r="F63" s="75"/>
      <c r="G63" s="74"/>
      <c r="H63" s="68"/>
      <c r="I63" s="74"/>
      <c r="J63" s="74"/>
      <c r="K63" s="74"/>
      <c r="L63" s="75"/>
      <c r="M63" s="78"/>
      <c r="N63" s="71"/>
    </row>
    <row r="64" spans="1:14" ht="13" x14ac:dyDescent="0.25">
      <c r="A64" s="70">
        <v>45</v>
      </c>
      <c r="B64" s="74"/>
      <c r="C64" s="74"/>
      <c r="D64" s="74"/>
      <c r="E64" s="74"/>
      <c r="F64" s="75"/>
      <c r="G64" s="74"/>
      <c r="H64" s="68"/>
      <c r="I64" s="74"/>
      <c r="J64" s="74"/>
      <c r="K64" s="74"/>
      <c r="L64" s="75"/>
      <c r="M64" s="78"/>
      <c r="N64" s="71"/>
    </row>
    <row r="65" spans="1:14" ht="13" x14ac:dyDescent="0.25">
      <c r="A65" s="70">
        <v>46</v>
      </c>
      <c r="B65" s="74"/>
      <c r="C65" s="74"/>
      <c r="D65" s="74"/>
      <c r="E65" s="74"/>
      <c r="F65" s="75"/>
      <c r="G65" s="74"/>
      <c r="H65" s="68"/>
      <c r="I65" s="74"/>
      <c r="J65" s="74"/>
      <c r="K65" s="74"/>
      <c r="L65" s="75"/>
      <c r="M65" s="78"/>
      <c r="N65" s="71"/>
    </row>
    <row r="66" spans="1:14" ht="13" x14ac:dyDescent="0.25">
      <c r="A66" s="70">
        <v>47</v>
      </c>
      <c r="B66" s="74"/>
      <c r="C66" s="74"/>
      <c r="D66" s="74"/>
      <c r="E66" s="74"/>
      <c r="F66" s="75"/>
      <c r="G66" s="74"/>
      <c r="H66" s="68"/>
      <c r="I66" s="74"/>
      <c r="J66" s="74"/>
      <c r="K66" s="74"/>
      <c r="L66" s="75"/>
      <c r="M66" s="78"/>
      <c r="N66" s="71"/>
    </row>
    <row r="67" spans="1:14" ht="13" x14ac:dyDescent="0.25">
      <c r="A67" s="70">
        <v>48</v>
      </c>
      <c r="B67" s="74"/>
      <c r="C67" s="74"/>
      <c r="D67" s="74"/>
      <c r="E67" s="74"/>
      <c r="F67" s="75"/>
      <c r="G67" s="74"/>
      <c r="H67" s="68"/>
      <c r="I67" s="74"/>
      <c r="J67" s="74"/>
      <c r="K67" s="74"/>
      <c r="L67" s="75"/>
      <c r="M67" s="78"/>
      <c r="N67" s="71"/>
    </row>
    <row r="68" spans="1:14" ht="13" x14ac:dyDescent="0.25">
      <c r="A68" s="70">
        <v>49</v>
      </c>
      <c r="B68" s="74"/>
      <c r="C68" s="74"/>
      <c r="D68" s="74"/>
      <c r="E68" s="74"/>
      <c r="F68" s="75"/>
      <c r="G68" s="74"/>
      <c r="H68" s="68"/>
      <c r="I68" s="74"/>
      <c r="J68" s="74"/>
      <c r="K68" s="74"/>
      <c r="L68" s="75"/>
      <c r="M68" s="78"/>
      <c r="N68" s="71"/>
    </row>
    <row r="69" spans="1:14" ht="13" x14ac:dyDescent="0.25">
      <c r="A69" s="70">
        <v>50</v>
      </c>
      <c r="B69" s="74"/>
      <c r="C69" s="74"/>
      <c r="D69" s="74"/>
      <c r="E69" s="74"/>
      <c r="F69" s="75"/>
      <c r="G69" s="74"/>
      <c r="H69" s="68"/>
      <c r="I69" s="74"/>
      <c r="J69" s="74"/>
      <c r="K69" s="74"/>
      <c r="L69" s="75"/>
      <c r="M69" s="78"/>
      <c r="N69" s="71"/>
    </row>
    <row r="70" spans="1:14" ht="13" x14ac:dyDescent="0.25">
      <c r="A70" s="70">
        <v>51</v>
      </c>
      <c r="B70" s="74"/>
      <c r="C70" s="74"/>
      <c r="D70" s="74"/>
      <c r="E70" s="74"/>
      <c r="F70" s="75"/>
      <c r="G70" s="74"/>
      <c r="H70" s="68"/>
      <c r="I70" s="74"/>
      <c r="J70" s="74"/>
      <c r="K70" s="74"/>
      <c r="L70" s="75"/>
      <c r="M70" s="78"/>
      <c r="N70" s="71"/>
    </row>
    <row r="71" spans="1:14" ht="13" x14ac:dyDescent="0.25">
      <c r="A71" s="70">
        <v>52</v>
      </c>
      <c r="B71" s="74"/>
      <c r="C71" s="74"/>
      <c r="D71" s="74"/>
      <c r="E71" s="74"/>
      <c r="F71" s="75"/>
      <c r="G71" s="74"/>
      <c r="H71" s="68"/>
      <c r="I71" s="74"/>
      <c r="J71" s="74"/>
      <c r="K71" s="74"/>
      <c r="L71" s="75"/>
      <c r="M71" s="78"/>
      <c r="N71" s="71"/>
    </row>
    <row r="72" spans="1:14" ht="13" x14ac:dyDescent="0.25">
      <c r="A72" s="70">
        <v>53</v>
      </c>
      <c r="B72" s="74"/>
      <c r="C72" s="74"/>
      <c r="D72" s="74"/>
      <c r="E72" s="74"/>
      <c r="F72" s="75"/>
      <c r="G72" s="74"/>
      <c r="H72" s="68"/>
      <c r="I72" s="74"/>
      <c r="J72" s="74"/>
      <c r="K72" s="74"/>
      <c r="L72" s="75"/>
      <c r="M72" s="78"/>
      <c r="N72" s="71"/>
    </row>
    <row r="73" spans="1:14" ht="13" x14ac:dyDescent="0.25">
      <c r="A73" s="70">
        <v>54</v>
      </c>
      <c r="B73" s="74"/>
      <c r="C73" s="74"/>
      <c r="D73" s="74"/>
      <c r="E73" s="74"/>
      <c r="F73" s="75"/>
      <c r="G73" s="74"/>
      <c r="H73" s="68"/>
      <c r="I73" s="74"/>
      <c r="J73" s="74"/>
      <c r="K73" s="74"/>
      <c r="L73" s="75"/>
      <c r="M73" s="78"/>
      <c r="N73" s="71"/>
    </row>
    <row r="74" spans="1:14" ht="13" x14ac:dyDescent="0.25">
      <c r="A74" s="70">
        <v>55</v>
      </c>
      <c r="B74" s="74"/>
      <c r="C74" s="74"/>
      <c r="D74" s="74"/>
      <c r="E74" s="74"/>
      <c r="F74" s="75"/>
      <c r="G74" s="74"/>
      <c r="H74" s="68"/>
      <c r="I74" s="74"/>
      <c r="J74" s="74"/>
      <c r="K74" s="74"/>
      <c r="L74" s="75"/>
      <c r="M74" s="78"/>
      <c r="N74" s="71"/>
    </row>
    <row r="75" spans="1:14" ht="13" x14ac:dyDescent="0.25">
      <c r="A75" s="70">
        <v>56</v>
      </c>
      <c r="B75" s="74"/>
      <c r="C75" s="74"/>
      <c r="D75" s="74"/>
      <c r="E75" s="74"/>
      <c r="F75" s="75"/>
      <c r="G75" s="74"/>
      <c r="H75" s="68"/>
      <c r="I75" s="74"/>
      <c r="J75" s="74"/>
      <c r="K75" s="74"/>
      <c r="L75" s="75"/>
      <c r="M75" s="78"/>
      <c r="N75" s="71"/>
    </row>
    <row r="76" spans="1:14" ht="13" x14ac:dyDescent="0.25">
      <c r="A76" s="70">
        <v>57</v>
      </c>
      <c r="B76" s="77"/>
      <c r="C76" s="77"/>
      <c r="D76" s="74"/>
      <c r="E76" s="74"/>
      <c r="F76" s="75"/>
      <c r="G76" s="74"/>
      <c r="H76" s="68"/>
      <c r="I76" s="74"/>
      <c r="J76" s="74"/>
      <c r="K76" s="74"/>
      <c r="L76" s="75"/>
      <c r="M76" s="68"/>
      <c r="N76" s="71"/>
    </row>
    <row r="77" spans="1:14" ht="13" x14ac:dyDescent="0.25">
      <c r="A77" s="70">
        <v>58</v>
      </c>
      <c r="B77" s="77"/>
      <c r="C77" s="77"/>
      <c r="D77" s="74"/>
      <c r="E77" s="74"/>
      <c r="F77" s="75"/>
      <c r="G77" s="74"/>
      <c r="H77" s="68"/>
      <c r="I77" s="74"/>
      <c r="J77" s="74"/>
      <c r="K77" s="74"/>
      <c r="L77" s="75"/>
      <c r="M77" s="68"/>
      <c r="N77" s="71"/>
    </row>
    <row r="78" spans="1:14" ht="13" x14ac:dyDescent="0.25">
      <c r="A78" s="70">
        <v>59</v>
      </c>
      <c r="B78" s="77"/>
      <c r="C78" s="77"/>
      <c r="D78" s="74"/>
      <c r="E78" s="74"/>
      <c r="F78" s="75"/>
      <c r="G78" s="74"/>
      <c r="H78" s="68"/>
      <c r="I78" s="74"/>
      <c r="J78" s="74"/>
      <c r="K78" s="74"/>
      <c r="L78" s="75"/>
      <c r="M78" s="68"/>
      <c r="N78" s="71"/>
    </row>
    <row r="79" spans="1:14" ht="13" x14ac:dyDescent="0.25">
      <c r="A79" s="70">
        <v>60</v>
      </c>
      <c r="B79" s="77"/>
      <c r="C79" s="77"/>
      <c r="D79" s="74"/>
      <c r="E79" s="74"/>
      <c r="I79" s="74"/>
      <c r="J79" s="74"/>
      <c r="K79" s="74"/>
      <c r="L79" s="75"/>
      <c r="M79" s="68"/>
      <c r="N79" s="71"/>
    </row>
    <row r="80" spans="1:14" ht="15.75" customHeight="1" x14ac:dyDescent="0.25">
      <c r="B80" s="3"/>
      <c r="C80" s="37"/>
    </row>
    <row r="81" spans="1:7" ht="20" x14ac:dyDescent="0.4">
      <c r="A81" s="7" t="s">
        <v>4</v>
      </c>
      <c r="B81" s="3"/>
      <c r="C81" s="37"/>
    </row>
    <row r="82" spans="1:7" ht="15.5" x14ac:dyDescent="0.35">
      <c r="A82" s="6"/>
      <c r="B82" s="4"/>
      <c r="C82" s="38"/>
    </row>
    <row r="83" spans="1:7" ht="23" x14ac:dyDescent="0.5">
      <c r="A83" s="5" t="str">
        <f>D4</f>
        <v>PT# SEE BELOW</v>
      </c>
    </row>
    <row r="84" spans="1:7" x14ac:dyDescent="0.25">
      <c r="D84" s="3"/>
      <c r="F84" s="3"/>
      <c r="G84" s="3"/>
    </row>
    <row r="85" spans="1:7" ht="23" x14ac:dyDescent="0.5">
      <c r="B85" s="47"/>
      <c r="C85" s="37"/>
      <c r="E85" s="3"/>
    </row>
    <row r="86" spans="1:7" ht="23" x14ac:dyDescent="0.5">
      <c r="A86" s="47" t="s">
        <v>24</v>
      </c>
    </row>
    <row r="88" spans="1:7" ht="13" thickBot="1" x14ac:dyDescent="0.3"/>
    <row r="89" spans="1:7" ht="13" thickBot="1" x14ac:dyDescent="0.3">
      <c r="D89" s="42"/>
    </row>
    <row r="90" spans="1:7" ht="13.5" thickBot="1" x14ac:dyDescent="0.35">
      <c r="B90" s="42"/>
      <c r="C90" s="58"/>
      <c r="D90" s="59" t="s">
        <v>9</v>
      </c>
      <c r="E90" s="22"/>
    </row>
    <row r="91" spans="1:7" ht="13" x14ac:dyDescent="0.3">
      <c r="A91" s="42"/>
      <c r="B91" s="59" t="s">
        <v>6</v>
      </c>
      <c r="C91" s="59" t="s">
        <v>7</v>
      </c>
      <c r="D91" s="62" t="str">
        <f>INDEX($A$20:$I$79,$A92,4)</f>
        <v>EHH342-42-BMT</v>
      </c>
      <c r="E91" s="57" t="s">
        <v>8</v>
      </c>
    </row>
    <row r="92" spans="1:7" ht="16" thickBot="1" x14ac:dyDescent="0.4">
      <c r="A92" s="49">
        <v>1</v>
      </c>
      <c r="B92" s="60" t="str">
        <f>INDEX($A$20:$I$79,$A92,2)</f>
        <v>EHH342-42</v>
      </c>
      <c r="C92" s="61" t="str">
        <f>INDEX($A$20:$I$79,$A92,3)</f>
        <v>BMT</v>
      </c>
      <c r="D92" s="17"/>
      <c r="E92" s="60">
        <f>INDEX($A$20:$I$79,$A92,9)</f>
        <v>417</v>
      </c>
    </row>
    <row r="93" spans="1:7" ht="15.5" x14ac:dyDescent="0.35">
      <c r="A93" s="18"/>
      <c r="B93" s="16"/>
      <c r="C93" s="39"/>
      <c r="D93" s="24"/>
      <c r="E93" s="20"/>
    </row>
    <row r="94" spans="1:7" ht="15.5" x14ac:dyDescent="0.35">
      <c r="A94" s="19"/>
      <c r="B94" s="23" t="s">
        <v>25</v>
      </c>
      <c r="C94" s="29"/>
      <c r="D94" s="24"/>
      <c r="E94" s="9"/>
    </row>
    <row r="95" spans="1:7" ht="15.5" x14ac:dyDescent="0.35">
      <c r="A95" s="19"/>
      <c r="B95" s="23" t="s">
        <v>26</v>
      </c>
      <c r="C95" s="29"/>
      <c r="D95" s="25"/>
      <c r="E95" s="9"/>
    </row>
    <row r="96" spans="1:7" ht="15.5" x14ac:dyDescent="0.35">
      <c r="A96" s="19"/>
      <c r="B96" s="23" t="s">
        <v>27</v>
      </c>
      <c r="C96" s="29"/>
      <c r="D96" s="26"/>
      <c r="E96" s="9"/>
    </row>
    <row r="97" spans="1:5" ht="15.5" x14ac:dyDescent="0.35">
      <c r="A97" s="19"/>
      <c r="B97" s="23" t="s">
        <v>28</v>
      </c>
      <c r="C97" s="29"/>
      <c r="D97" s="28"/>
      <c r="E97" s="9"/>
    </row>
    <row r="98" spans="1:5" ht="15.5" x14ac:dyDescent="0.35">
      <c r="A98" s="19"/>
      <c r="B98" s="27" t="str">
        <f>$D$5</f>
        <v>PO#: SEE BELOW</v>
      </c>
      <c r="C98" s="40"/>
      <c r="D98" s="28"/>
      <c r="E98" s="9"/>
    </row>
    <row r="99" spans="1:5" ht="15.5" x14ac:dyDescent="0.35">
      <c r="A99" s="19"/>
      <c r="B99" s="44" t="str">
        <f>"SKU#: "&amp;INDEX($A$20:$I$79,A92,8)</f>
        <v>SKU#: 98001533</v>
      </c>
      <c r="D99" s="28"/>
      <c r="E99" s="9"/>
    </row>
    <row r="100" spans="1:5" ht="15.5" x14ac:dyDescent="0.35">
      <c r="A100" s="19"/>
      <c r="B100" s="46" t="e">
        <f>"DEPT#: "&amp;TEXT(#REF!,"000")</f>
        <v>#REF!</v>
      </c>
      <c r="C100" s="40"/>
      <c r="D100" s="28"/>
      <c r="E100" s="9"/>
    </row>
    <row r="101" spans="1:5" ht="15.5" x14ac:dyDescent="0.35">
      <c r="A101" s="19"/>
      <c r="B101" s="27" t="s">
        <v>11</v>
      </c>
      <c r="C101" s="29" t="str">
        <f>INDEX($A$20:$I$79,A92,5)&amp;"/"&amp;INDEX($A$20:$I$79,A92,6)</f>
        <v>BMT-EHH342-42-BMT/BLACK</v>
      </c>
      <c r="D101" s="28"/>
      <c r="E101" s="9"/>
    </row>
    <row r="102" spans="1:5" ht="15.5" x14ac:dyDescent="0.35">
      <c r="A102" s="19"/>
      <c r="B102" s="27" t="s">
        <v>12</v>
      </c>
      <c r="C102" s="29" t="str">
        <f>INDEX($A$20:$H32,A92,7)</f>
        <v>MICK SLING</v>
      </c>
      <c r="D102" s="28"/>
      <c r="E102" s="9"/>
    </row>
    <row r="103" spans="1:5" ht="15.5" x14ac:dyDescent="0.35">
      <c r="A103" s="19"/>
      <c r="B103" s="27" t="s">
        <v>19</v>
      </c>
      <c r="C103" s="29"/>
      <c r="D103" s="28"/>
      <c r="E103" s="9"/>
    </row>
    <row r="104" spans="1:5" ht="16" thickBot="1" x14ac:dyDescent="0.4">
      <c r="A104" s="19"/>
      <c r="B104" s="27" t="s">
        <v>13</v>
      </c>
      <c r="C104" s="29"/>
      <c r="D104" s="11"/>
      <c r="E104" s="9"/>
    </row>
    <row r="105" spans="1:5" ht="13.5" thickBot="1" x14ac:dyDescent="0.35">
      <c r="A105" s="19"/>
      <c r="B105" s="10"/>
      <c r="C105" s="41"/>
      <c r="E105" s="12"/>
    </row>
    <row r="106" spans="1:5" ht="13" thickBot="1" x14ac:dyDescent="0.3">
      <c r="A106" s="21"/>
    </row>
  </sheetData>
  <mergeCells count="2">
    <mergeCell ref="E2:G2"/>
    <mergeCell ref="C7:D7"/>
  </mergeCells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914400</xdr:colOff>
                    <xdr:row>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0</xdr:rowOff>
                  </from>
                  <to>
                    <xdr:col>1</xdr:col>
                    <xdr:colOff>831850</xdr:colOff>
                    <xdr:row>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7</xdr:row>
                    <xdr:rowOff>12700</xdr:rowOff>
                  </from>
                  <to>
                    <xdr:col>1</xdr:col>
                    <xdr:colOff>831850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679450</xdr:colOff>
                    <xdr:row>11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workbookViewId="0">
      <selection activeCell="B7" sqref="B7"/>
    </sheetView>
  </sheetViews>
  <sheetFormatPr defaultRowHeight="12.5" x14ac:dyDescent="0.25"/>
  <cols>
    <col min="1" max="1" width="22.26953125" customWidth="1"/>
    <col min="2" max="2" width="19.1796875" customWidth="1"/>
    <col min="3" max="3" width="18.26953125" style="55" customWidth="1"/>
    <col min="4" max="4" width="29.1796875" style="55" customWidth="1"/>
  </cols>
  <sheetData>
    <row r="1" spans="1:6" ht="13" x14ac:dyDescent="0.3">
      <c r="A1" s="51" t="s">
        <v>15</v>
      </c>
      <c r="B1" s="51" t="s">
        <v>29</v>
      </c>
      <c r="C1" s="51" t="s">
        <v>30</v>
      </c>
      <c r="D1" s="51" t="s">
        <v>43</v>
      </c>
      <c r="E1" s="73" t="s">
        <v>35</v>
      </c>
      <c r="F1" s="73" t="s">
        <v>44</v>
      </c>
    </row>
    <row r="2" spans="1:6" x14ac:dyDescent="0.25">
      <c r="A2" s="50" t="s">
        <v>45</v>
      </c>
      <c r="B2" s="52">
        <v>300663175498</v>
      </c>
      <c r="C2" s="54">
        <v>66317549</v>
      </c>
      <c r="D2" s="54">
        <v>5</v>
      </c>
    </row>
    <row r="3" spans="1:6" x14ac:dyDescent="0.25">
      <c r="A3" s="50" t="s">
        <v>45</v>
      </c>
      <c r="B3" s="52">
        <v>300663175511</v>
      </c>
      <c r="C3" s="54">
        <v>66317551</v>
      </c>
      <c r="D3" s="54">
        <v>6</v>
      </c>
    </row>
    <row r="4" spans="1:6" x14ac:dyDescent="0.25">
      <c r="A4" s="50" t="s">
        <v>45</v>
      </c>
      <c r="B4" s="52">
        <v>300663175634</v>
      </c>
      <c r="C4" s="54">
        <v>66317563</v>
      </c>
      <c r="D4" s="54">
        <v>7</v>
      </c>
    </row>
    <row r="5" spans="1:6" x14ac:dyDescent="0.25">
      <c r="A5" s="50" t="s">
        <v>45</v>
      </c>
      <c r="B5" s="52">
        <v>300663175764</v>
      </c>
      <c r="C5" s="54">
        <v>66317576</v>
      </c>
      <c r="D5" s="50">
        <v>8</v>
      </c>
    </row>
    <row r="6" spans="1:6" x14ac:dyDescent="0.25">
      <c r="A6" s="50" t="s">
        <v>45</v>
      </c>
      <c r="B6" s="52">
        <v>300663175887</v>
      </c>
      <c r="C6" s="54">
        <v>66317588</v>
      </c>
      <c r="D6" s="50">
        <v>9</v>
      </c>
    </row>
    <row r="7" spans="1:6" x14ac:dyDescent="0.25">
      <c r="A7" s="50" t="s">
        <v>45</v>
      </c>
      <c r="B7" s="53">
        <v>300663175900</v>
      </c>
      <c r="C7" s="52">
        <v>66317590</v>
      </c>
      <c r="D7" s="50">
        <v>10</v>
      </c>
    </row>
    <row r="8" spans="1:6" x14ac:dyDescent="0.25">
      <c r="A8" s="50"/>
      <c r="B8" s="52"/>
      <c r="C8" s="54"/>
      <c r="D8" s="56"/>
    </row>
    <row r="9" spans="1:6" x14ac:dyDescent="0.25">
      <c r="A9" s="50"/>
      <c r="B9" s="52"/>
      <c r="C9" s="54"/>
      <c r="D9" s="56"/>
    </row>
    <row r="10" spans="1:6" x14ac:dyDescent="0.25">
      <c r="A10" s="50"/>
      <c r="B10" s="52"/>
      <c r="C10" s="54"/>
      <c r="D10" s="56"/>
    </row>
    <row r="11" spans="1:6" x14ac:dyDescent="0.25">
      <c r="A11" s="50"/>
      <c r="B11" s="52"/>
      <c r="C11" s="54"/>
      <c r="D11" s="56"/>
    </row>
    <row r="12" spans="1:6" x14ac:dyDescent="0.25">
      <c r="A12" s="50"/>
      <c r="B12" s="52"/>
      <c r="D12" s="56"/>
    </row>
    <row r="13" spans="1:6" x14ac:dyDescent="0.25">
      <c r="A13" s="50"/>
      <c r="B13" s="52"/>
      <c r="C13" s="54"/>
      <c r="D13" s="56"/>
    </row>
    <row r="14" spans="1:6" x14ac:dyDescent="0.25">
      <c r="A14" s="50"/>
      <c r="B14" s="52"/>
      <c r="C14" s="54"/>
      <c r="D14" s="56"/>
    </row>
    <row r="15" spans="1:6" x14ac:dyDescent="0.25">
      <c r="A15" s="50"/>
      <c r="B15" s="52"/>
      <c r="C15" s="54"/>
      <c r="D15" s="56"/>
    </row>
    <row r="16" spans="1:6" x14ac:dyDescent="0.25">
      <c r="A16" s="50"/>
      <c r="B16" s="52"/>
      <c r="C16" s="54"/>
      <c r="D16" s="52"/>
    </row>
    <row r="17" spans="1:4" x14ac:dyDescent="0.25">
      <c r="A17" s="50"/>
      <c r="B17" s="52"/>
      <c r="C17" s="54"/>
      <c r="D17" s="52"/>
    </row>
    <row r="20" spans="1:4" x14ac:dyDescent="0.25">
      <c r="B20" s="53"/>
    </row>
    <row r="21" spans="1:4" x14ac:dyDescent="0.25">
      <c r="B21" s="53"/>
    </row>
    <row r="22" spans="1:4" x14ac:dyDescent="0.25">
      <c r="B22" s="53"/>
    </row>
    <row r="23" spans="1:4" x14ac:dyDescent="0.25">
      <c r="B23" s="53"/>
    </row>
    <row r="24" spans="1:4" x14ac:dyDescent="0.25">
      <c r="B24" s="53"/>
    </row>
    <row r="25" spans="1:4" x14ac:dyDescent="0.25">
      <c r="B25" s="53"/>
    </row>
    <row r="26" spans="1:4" x14ac:dyDescent="0.25">
      <c r="B26" s="53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3" ma:contentTypeDescription="Create a new document." ma:contentTypeScope="" ma:versionID="f9ad9d580bd4029138646c21d2254aae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29fb8a49c6e7b59bce13271a7e9259a6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BF62C12-9B3F-4194-BB68-846EF02C71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6BF91B9-6398-4C2C-BFAB-A0996F584B0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A9D5158-0126-429E-8DC7-40A5A3137926}">
  <ds:schemaRefs>
    <ds:schemaRef ds:uri="http://purl.org/dc/dcmitype/"/>
    <ds:schemaRef ds:uri="http://schemas.microsoft.com/office/infopath/2007/PartnerControls"/>
    <ds:schemaRef ds:uri="http://purl.org/dc/elements/1.1/"/>
    <ds:schemaRef ds:uri="b64a6b97-d2c8-48e5-a337-c764d9dfadaa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2022-01-24T15:57:23Z</cp:lastPrinted>
  <dcterms:created xsi:type="dcterms:W3CDTF">2008-06-06T20:54:57Z</dcterms:created>
  <dcterms:modified xsi:type="dcterms:W3CDTF">2026-04-14T21:11:39Z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