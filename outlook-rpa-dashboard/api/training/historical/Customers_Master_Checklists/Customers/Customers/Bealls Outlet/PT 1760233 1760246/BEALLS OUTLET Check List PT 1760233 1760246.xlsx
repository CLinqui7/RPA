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ealls Outlet/PT/"/>
    </mc:Choice>
  </mc:AlternateContent>
  <xr:revisionPtr revIDLastSave="374" documentId="8_{0EBB2938-9D16-473B-B306-699D55C5D276}" xr6:coauthVersionLast="47" xr6:coauthVersionMax="47" xr10:uidLastSave="{1A175349-FE73-4828-9509-A520BD59B31E}"/>
  <bookViews>
    <workbookView xWindow="28680" yWindow="-11490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2" i="1" l="1"/>
  <c r="D60" i="1"/>
  <c r="D61" i="1"/>
  <c r="D58" i="1"/>
  <c r="D59" i="1"/>
  <c r="D56" i="1"/>
  <c r="D57" i="1"/>
  <c r="D54" i="1"/>
  <c r="D55" i="1"/>
  <c r="D51" i="1"/>
  <c r="D52" i="1"/>
  <c r="D53" i="1"/>
  <c r="D48" i="1"/>
  <c r="D49" i="1"/>
  <c r="D50" i="1"/>
  <c r="D45" i="1"/>
  <c r="D46" i="1"/>
  <c r="D47" i="1"/>
  <c r="D43" i="1"/>
  <c r="D44" i="1"/>
  <c r="D42" i="1"/>
  <c r="D36" i="1"/>
  <c r="D37" i="1"/>
  <c r="D38" i="1"/>
  <c r="D39" i="1"/>
  <c r="D40" i="1"/>
  <c r="D41" i="1"/>
  <c r="D30" i="1"/>
  <c r="D31" i="1"/>
  <c r="D32" i="1"/>
  <c r="D33" i="1"/>
  <c r="D34" i="1"/>
  <c r="D35" i="1"/>
  <c r="D21" i="1"/>
  <c r="D22" i="1"/>
  <c r="D23" i="1"/>
  <c r="D24" i="1"/>
  <c r="D25" i="1"/>
  <c r="D26" i="1"/>
  <c r="D27" i="1"/>
  <c r="D28" i="1"/>
  <c r="D29" i="1"/>
  <c r="D20" i="1"/>
  <c r="C85" i="1"/>
  <c r="B76" i="1"/>
  <c r="C76" i="1"/>
  <c r="E76" i="1"/>
  <c r="B82" i="1"/>
  <c r="B83" i="1"/>
  <c r="B84" i="1"/>
  <c r="C86" i="1"/>
  <c r="A67" i="1"/>
  <c r="D75" i="1" l="1"/>
</calcChain>
</file>

<file path=xl/sharedStrings.xml><?xml version="1.0" encoding="utf-8"?>
<sst xmlns="http://schemas.openxmlformats.org/spreadsheetml/2006/main" count="311" uniqueCount="98">
  <si>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</si>
  <si>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</si>
  <si>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</si>
  <si>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</si>
  <si>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</si>
  <si>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</si>
  <si>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</si>
  <si>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</si>
  <si>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</si>
  <si>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</si>
  <si>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</si>
  <si>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</si>
  <si>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</si>
  <si>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</si>
  <si>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</si>
  <si>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</si>
  <si>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</si>
  <si>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</si>
  <si>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</si>
  <si>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</si>
  <si>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</si>
  <si>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</si>
  <si>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</si>
  <si>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</si>
  <si>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</si>
  <si>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</si>
  <si>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</si>
  <si>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</si>
  <si>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</si>
  <si>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</si>
  <si>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</si>
  <si>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</si>
  <si>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</si>
  <si>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</si>
  <si>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</si>
  <si>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</si>
  <si>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</si>
  <si>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</si>
  <si>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</si>
  <si>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</si>
  <si>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</si>
  <si>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</si>
  <si>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</si>
  <si>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</si>
  <si>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</si>
  <si>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1857425</t>
  </si>
  <si>
    <t>1857632</t>
  </si>
  <si>
    <t>1857633</t>
  </si>
  <si>
    <t>1857634</t>
  </si>
  <si>
    <t>1858584</t>
  </si>
  <si>
    <t>1858603</t>
  </si>
  <si>
    <t>1858723</t>
  </si>
  <si>
    <t>1858724</t>
  </si>
  <si>
    <t>1858725</t>
  </si>
  <si>
    <t>1858734</t>
  </si>
  <si>
    <t>1858735</t>
  </si>
  <si>
    <t>1858736</t>
  </si>
  <si>
    <t>1902420</t>
  </si>
  <si>
    <t>1902421</t>
  </si>
  <si>
    <t>PT0020EH-42</t>
  </si>
  <si>
    <t>PT0023EH-42</t>
  </si>
  <si>
    <t>PT0024EH-42</t>
  </si>
  <si>
    <t>PT0027EH-42</t>
  </si>
  <si>
    <t>PT0022EH-42</t>
  </si>
  <si>
    <t>PT0026EH-42</t>
  </si>
  <si>
    <t>PT0034EH-42</t>
  </si>
  <si>
    <t>PT0030EH-42</t>
  </si>
  <si>
    <t>PT0031EH-42</t>
  </si>
  <si>
    <t>PT0032EH-42</t>
  </si>
  <si>
    <t>PT0035EH-42</t>
  </si>
  <si>
    <t>PL0314AS</t>
  </si>
  <si>
    <t>PL1607AS</t>
  </si>
  <si>
    <t>032</t>
  </si>
  <si>
    <t>003</t>
  </si>
  <si>
    <t>009</t>
  </si>
  <si>
    <t>001</t>
  </si>
  <si>
    <t>L03</t>
  </si>
  <si>
    <t>GMI</t>
  </si>
  <si>
    <t>Blue</t>
  </si>
  <si>
    <t>Red</t>
  </si>
  <si>
    <t>EDH BLU USBCtoC 6FT braided nylon CBL</t>
  </si>
  <si>
    <t>EDH RED USBCtoC 6FT braided nylon CBL</t>
  </si>
  <si>
    <t>EDH BLUE USBAtoC 6FT braided nylon CBL</t>
  </si>
  <si>
    <t>EDH RED USBAtoC 6FT braided nylon CBLQ</t>
  </si>
  <si>
    <t>Pink</t>
  </si>
  <si>
    <t>EDH PNK USBCtoC 6FT braided nylon CBL</t>
  </si>
  <si>
    <t>EDH PNK USBAtoC 6FT braided nylon CBL</t>
  </si>
  <si>
    <t>EDH PNK 20W dual port USB AC rapic wall Chargr</t>
  </si>
  <si>
    <t xml:space="preserve">Pink </t>
  </si>
  <si>
    <t>EDH PNK 6ft USBC Cbl 20W dual port wall Chrg Set</t>
  </si>
  <si>
    <t>EDH BLUE 6ft USBC Cbl 20W dual port wall Chrg Set</t>
  </si>
  <si>
    <t>Red BLACK</t>
  </si>
  <si>
    <t>White</t>
  </si>
  <si>
    <t>EDH REDBLK 20W dual port USB AC rapic wall Chargr</t>
  </si>
  <si>
    <t>EDH WHT 20W dual port USB AC rapic wall Chargr</t>
  </si>
  <si>
    <t>No Color</t>
  </si>
  <si>
    <t>CUTICL NIPPR BL</t>
  </si>
  <si>
    <t>4P ManiSetCuticleOil MINT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</si>
</sst>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3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10"/>
      <color rgb="FFFF0000"/>
      <name val="Arial"/>
      <family val="2"/>
    </font>
    <font>
      <sz val="14"/>
      <name val="Arial"/>
      <family val="2"/>
    </font>
    <font>
      <u/>
      <sz val="14"/>
      <name val="Arial"/>
      <family val="2"/>
    </font>
    <font>
      <sz val="14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117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9" xfId="0" applyFont="1" applyFill="1" applyBorder="1" applyAlignment="1">
      <alignment horizontal="center"/>
    </xf>
    <xf numFmtId="0" fontId="1" fillId="0" borderId="11" xfId="0" applyFont="1" applyBorder="1"/>
    <xf numFmtId="0" fontId="27" fillId="11" borderId="11" xfId="1" applyFill="1" applyBorder="1" applyAlignment="1">
      <alignment vertical="center" wrapText="1"/>
    </xf>
    <xf numFmtId="0" fontId="17" fillId="8" borderId="11" xfId="0" applyFont="1" applyFill="1" applyBorder="1" applyAlignment="1">
      <alignment horizont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1" fillId="12" borderId="11" xfId="0" applyFont="1" applyFill="1" applyBorder="1"/>
    <xf numFmtId="0" fontId="27" fillId="12" borderId="11" xfId="1" applyFill="1" applyBorder="1" applyAlignment="1">
      <alignment vertical="center" wrapText="1"/>
    </xf>
    <xf numFmtId="0" fontId="1" fillId="12" borderId="11" xfId="0" quotePrefix="1" applyFont="1" applyFill="1" applyBorder="1" applyAlignment="1">
      <alignment horizontal="center" vertical="center"/>
    </xf>
    <xf numFmtId="0" fontId="0" fillId="12" borderId="0" xfId="0" applyFill="1"/>
    <xf numFmtId="0" fontId="1" fillId="0" borderId="0" xfId="0" applyFont="1"/>
    <xf numFmtId="0" fontId="27" fillId="5" borderId="11" xfId="1" applyFill="1" applyBorder="1" applyAlignment="1">
      <alignment vertical="center" wrapText="1"/>
    </xf>
    <xf numFmtId="0" fontId="1" fillId="5" borderId="11" xfId="0" applyFont="1" applyFill="1" applyBorder="1"/>
    <xf numFmtId="0" fontId="1" fillId="5" borderId="11" xfId="0" quotePrefix="1" applyFont="1" applyFill="1" applyBorder="1" applyAlignment="1">
      <alignment horizontal="center" vertical="center"/>
    </xf>
    <xf numFmtId="0" fontId="0" fillId="5" borderId="0" xfId="0" applyFill="1"/>
    <xf numFmtId="0" fontId="12" fillId="8" borderId="11" xfId="0" applyFont="1" applyFill="1" applyBorder="1" applyAlignment="1">
      <alignment horizontal="center"/>
    </xf>
    <xf numFmtId="0" fontId="12" fillId="8" borderId="18" xfId="0" applyFont="1" applyFill="1" applyBorder="1" applyAlignment="1">
      <alignment horizontal="center"/>
    </xf>
    <xf numFmtId="0" fontId="30" fillId="7" borderId="11" xfId="0" applyFont="1" applyFill="1" applyBorder="1" applyAlignment="1">
      <alignment horizontal="center" vertical="center"/>
    </xf>
    <xf numFmtId="0" fontId="1" fillId="13" borderId="11" xfId="0" applyFont="1" applyFill="1" applyBorder="1"/>
    <xf numFmtId="0" fontId="27" fillId="13" borderId="11" xfId="1" applyFill="1" applyBorder="1" applyAlignment="1">
      <alignment vertical="center" wrapText="1"/>
    </xf>
    <xf numFmtId="0" fontId="1" fillId="13" borderId="11" xfId="0" quotePrefix="1" applyFont="1" applyFill="1" applyBorder="1" applyAlignment="1">
      <alignment horizontal="center" vertical="center"/>
    </xf>
    <xf numFmtId="0" fontId="0" fillId="13" borderId="0" xfId="0" applyFill="1"/>
    <xf numFmtId="0" fontId="1" fillId="14" borderId="11" xfId="0" applyFont="1" applyFill="1" applyBorder="1"/>
    <xf numFmtId="0" fontId="27" fillId="14" borderId="11" xfId="1" applyFill="1" applyBorder="1" applyAlignment="1">
      <alignment vertical="center" wrapText="1"/>
    </xf>
    <xf numFmtId="0" fontId="1" fillId="14" borderId="11" xfId="0" quotePrefix="1" applyFont="1" applyFill="1" applyBorder="1" applyAlignment="1">
      <alignment horizontal="center" vertical="center"/>
    </xf>
    <xf numFmtId="0" fontId="0" fillId="14" borderId="0" xfId="0" applyFill="1"/>
    <xf numFmtId="0" fontId="1" fillId="15" borderId="11" xfId="0" applyFont="1" applyFill="1" applyBorder="1"/>
    <xf numFmtId="0" fontId="27" fillId="15" borderId="11" xfId="1" applyFill="1" applyBorder="1" applyAlignment="1">
      <alignment vertical="center" wrapText="1"/>
    </xf>
    <xf numFmtId="0" fontId="1" fillId="15" borderId="11" xfId="0" quotePrefix="1" applyFont="1" applyFill="1" applyBorder="1" applyAlignment="1">
      <alignment horizontal="center" vertical="center"/>
    </xf>
    <xf numFmtId="0" fontId="0" fillId="15" borderId="0" xfId="0" applyFill="1"/>
    <xf numFmtId="0" fontId="1" fillId="8" borderId="11" xfId="0" applyFont="1" applyFill="1" applyBorder="1"/>
    <xf numFmtId="0" fontId="27" fillId="8" borderId="11" xfId="1" applyFill="1" applyBorder="1" applyAlignment="1">
      <alignment vertical="center" wrapText="1"/>
    </xf>
    <xf numFmtId="0" fontId="1" fillId="8" borderId="11" xfId="0" quotePrefix="1" applyFont="1" applyFill="1" applyBorder="1" applyAlignment="1">
      <alignment horizontal="center" vertical="center"/>
    </xf>
    <xf numFmtId="0" fontId="0" fillId="8" borderId="0" xfId="0" applyFill="1"/>
    <xf numFmtId="0" fontId="0" fillId="8" borderId="11" xfId="0" applyFill="1" applyBorder="1" applyAlignment="1">
      <alignment horizontal="center" vertical="center"/>
    </xf>
    <xf numFmtId="0" fontId="30" fillId="7" borderId="11" xfId="0" applyFont="1" applyFill="1" applyBorder="1" applyAlignment="1">
      <alignment horizontal="center"/>
    </xf>
    <xf numFmtId="0" fontId="31" fillId="7" borderId="11" xfId="1" applyFont="1" applyFill="1" applyBorder="1" applyAlignment="1">
      <alignment horizontal="center" vertical="center" wrapText="1"/>
    </xf>
    <xf numFmtId="0" fontId="30" fillId="7" borderId="11" xfId="1" applyFont="1" applyFill="1" applyBorder="1" applyAlignment="1">
      <alignment horizontal="center" vertical="center" wrapText="1"/>
    </xf>
    <xf numFmtId="0" fontId="32" fillId="7" borderId="11" xfId="0" applyFont="1" applyFill="1" applyBorder="1" applyAlignment="1">
      <alignment horizontal="center"/>
    </xf>
    <xf numFmtId="0" fontId="12" fillId="7" borderId="11" xfId="0" applyFont="1" applyFill="1" applyBorder="1" applyAlignment="1">
      <alignment horizontal="center" vertical="center"/>
    </xf>
    <xf numFmtId="0" fontId="29" fillId="0" borderId="20" xfId="0" applyFont="1" applyBorder="1"/>
    <xf numFmtId="0" fontId="0" fillId="0" borderId="20" xfId="0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26</xdr:row>
      <xdr:rowOff>28575</xdr:rowOff>
    </xdr:from>
    <xdr:to>
      <xdr:col>0</xdr:col>
      <xdr:colOff>0</xdr:colOff>
      <xdr:row>68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72</xdr:row>
      <xdr:rowOff>0</xdr:rowOff>
    </xdr:from>
    <xdr:to>
      <xdr:col>0</xdr:col>
      <xdr:colOff>0</xdr:colOff>
      <xdr:row>72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73</xdr:row>
      <xdr:rowOff>0</xdr:rowOff>
    </xdr:from>
    <xdr:to>
      <xdr:col>0</xdr:col>
      <xdr:colOff>0</xdr:colOff>
      <xdr:row>73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70</xdr:row>
      <xdr:rowOff>123825</xdr:rowOff>
    </xdr:from>
    <xdr:to>
      <xdr:col>0</xdr:col>
      <xdr:colOff>1000125</xdr:colOff>
      <xdr:row>73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828675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828675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676275</xdr:colOff>
          <xdr:row>11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"/>
  <sheetViews>
    <sheetView tabSelected="1" topLeftCell="A52" zoomScale="91" zoomScaleNormal="91" workbookViewId="0">
      <selection activeCell="P10" sqref="P10"/>
    </sheetView>
  </sheetViews>
  <sheetFormatPr defaultRowHeight="12.5" x14ac:dyDescent="0.25"/>
  <cols>
    <col min="1" max="1" width="10.36328125" customWidth="1"/>
    <col min="2" max="2" width="22.81640625" customWidth="1"/>
    <col min="3" max="3" width="9.81640625" style="33" customWidth="1"/>
    <col min="4" max="4" width="27" customWidth="1"/>
    <col min="5" max="5" width="19.26953125" customWidth="1"/>
    <col min="6" max="6" width="16.7265625" customWidth="1"/>
    <col min="7" max="7" width="63.1796875" customWidth="1"/>
    <col min="8" max="8" width="22.54296875" bestFit="1" customWidth="1"/>
    <col min="9" max="9" width="13.453125" customWidth="1"/>
    <col min="10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76" t="s">
        <v>31</v>
      </c>
      <c r="F2" s="77"/>
      <c r="G2" s="78"/>
    </row>
    <row r="4" spans="1:17" ht="18" x14ac:dyDescent="0.4">
      <c r="A4" s="1" t="s">
        <v>0</v>
      </c>
      <c r="D4" s="64" t="s">
        <v>36</v>
      </c>
    </row>
    <row r="5" spans="1:17" ht="15.5" x14ac:dyDescent="0.35">
      <c r="D5" s="64" t="s">
        <v>37</v>
      </c>
    </row>
    <row r="7" spans="1:17" ht="20" x14ac:dyDescent="0.4">
      <c r="A7" s="65" t="s">
        <v>1</v>
      </c>
      <c r="C7" s="79" t="s">
        <v>32</v>
      </c>
      <c r="D7" s="80"/>
      <c r="E7" s="66" t="s">
        <v>41</v>
      </c>
      <c r="F7" s="71" t="s">
        <v>38</v>
      </c>
      <c r="G7" s="71"/>
      <c r="H7" s="71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/>
      <c r="I18" s="31"/>
      <c r="J18" s="31"/>
      <c r="K18" s="31"/>
      <c r="L18" s="31"/>
      <c r="M18" s="31"/>
      <c r="N18" s="45"/>
    </row>
    <row r="19" spans="1:14" ht="18" x14ac:dyDescent="0.4">
      <c r="A19" s="68"/>
      <c r="B19" s="90" t="s">
        <v>14</v>
      </c>
      <c r="C19" s="90" t="s">
        <v>20</v>
      </c>
      <c r="D19" s="90" t="s">
        <v>15</v>
      </c>
      <c r="E19" s="90" t="s">
        <v>21</v>
      </c>
      <c r="F19" s="90" t="s">
        <v>17</v>
      </c>
      <c r="G19" s="90" t="s">
        <v>18</v>
      </c>
      <c r="H19" s="90" t="s">
        <v>33</v>
      </c>
      <c r="I19" s="91" t="s">
        <v>16</v>
      </c>
      <c r="J19" s="90" t="s">
        <v>34</v>
      </c>
      <c r="K19" s="90" t="s">
        <v>35</v>
      </c>
      <c r="L19" s="75" t="s">
        <v>39</v>
      </c>
      <c r="M19" s="75" t="s">
        <v>40</v>
      </c>
      <c r="N19" s="75" t="s">
        <v>22</v>
      </c>
    </row>
    <row r="20" spans="1:14" ht="18" x14ac:dyDescent="0.35">
      <c r="A20" s="114">
        <v>1</v>
      </c>
      <c r="B20" s="110" t="s">
        <v>59</v>
      </c>
      <c r="C20" s="110" t="s">
        <v>72</v>
      </c>
      <c r="D20" s="110" t="str">
        <f t="shared" ref="D20:D62" si="0">B20&amp;"-"&amp;C20</f>
        <v>PT0020EH-42-032</v>
      </c>
      <c r="E20" s="110" t="s">
        <v>59</v>
      </c>
      <c r="F20" s="110" t="s">
        <v>78</v>
      </c>
      <c r="G20" s="110" t="s">
        <v>80</v>
      </c>
      <c r="H20" s="110">
        <v>99140146</v>
      </c>
      <c r="I20" s="110">
        <v>144</v>
      </c>
      <c r="J20" s="113">
        <v>1760233</v>
      </c>
      <c r="K20" s="113" t="s">
        <v>45</v>
      </c>
      <c r="L20" s="73"/>
      <c r="M20" s="74"/>
      <c r="N20" s="70"/>
    </row>
    <row r="21" spans="1:14" ht="18" x14ac:dyDescent="0.35">
      <c r="A21" s="114">
        <v>2</v>
      </c>
      <c r="B21" s="110" t="s">
        <v>60</v>
      </c>
      <c r="C21" s="110" t="s">
        <v>73</v>
      </c>
      <c r="D21" s="110" t="str">
        <f t="shared" si="0"/>
        <v>PT0023EH-42-003</v>
      </c>
      <c r="E21" s="110" t="s">
        <v>60</v>
      </c>
      <c r="F21" s="110" t="s">
        <v>79</v>
      </c>
      <c r="G21" s="110" t="s">
        <v>81</v>
      </c>
      <c r="H21" s="110">
        <v>99140121</v>
      </c>
      <c r="I21" s="110">
        <v>240</v>
      </c>
      <c r="J21" s="113">
        <v>1760233</v>
      </c>
      <c r="K21" s="113" t="s">
        <v>45</v>
      </c>
      <c r="L21" s="73"/>
      <c r="M21" s="74"/>
      <c r="N21" s="70"/>
    </row>
    <row r="22" spans="1:14" ht="18" x14ac:dyDescent="0.35">
      <c r="A22" s="114">
        <v>19</v>
      </c>
      <c r="B22" s="110" t="s">
        <v>61</v>
      </c>
      <c r="C22" s="110" t="s">
        <v>72</v>
      </c>
      <c r="D22" s="110" t="str">
        <f t="shared" si="0"/>
        <v>PT0024EH-42-032</v>
      </c>
      <c r="E22" s="110" t="s">
        <v>61</v>
      </c>
      <c r="F22" s="110" t="s">
        <v>78</v>
      </c>
      <c r="G22" s="110" t="s">
        <v>82</v>
      </c>
      <c r="H22" s="110">
        <v>99140119</v>
      </c>
      <c r="I22" s="110">
        <v>96</v>
      </c>
      <c r="J22" s="110">
        <v>1760233</v>
      </c>
      <c r="K22" s="110" t="s">
        <v>45</v>
      </c>
      <c r="L22" s="73"/>
      <c r="M22" s="74"/>
      <c r="N22" s="70"/>
    </row>
    <row r="23" spans="1:14" s="84" customFormat="1" ht="18" x14ac:dyDescent="0.35">
      <c r="A23" s="114">
        <v>20</v>
      </c>
      <c r="B23" s="110" t="s">
        <v>62</v>
      </c>
      <c r="C23" s="110" t="s">
        <v>73</v>
      </c>
      <c r="D23" s="110" t="str">
        <f t="shared" si="0"/>
        <v>PT0027EH-42-003</v>
      </c>
      <c r="E23" s="110" t="s">
        <v>62</v>
      </c>
      <c r="F23" s="110" t="s">
        <v>79</v>
      </c>
      <c r="G23" s="110" t="s">
        <v>83</v>
      </c>
      <c r="H23" s="110">
        <v>99140090</v>
      </c>
      <c r="I23" s="110">
        <v>192</v>
      </c>
      <c r="J23" s="110">
        <v>1760233</v>
      </c>
      <c r="K23" s="110" t="s">
        <v>45</v>
      </c>
      <c r="L23" s="81"/>
      <c r="M23" s="82"/>
      <c r="N23" s="83"/>
    </row>
    <row r="24" spans="1:14" s="89" customFormat="1" ht="18" x14ac:dyDescent="0.35">
      <c r="A24" s="114">
        <v>21</v>
      </c>
      <c r="B24" s="110" t="s">
        <v>59</v>
      </c>
      <c r="C24" s="110" t="s">
        <v>72</v>
      </c>
      <c r="D24" s="110" t="str">
        <f t="shared" si="0"/>
        <v>PT0020EH-42-032</v>
      </c>
      <c r="E24" s="110" t="s">
        <v>59</v>
      </c>
      <c r="F24" s="111" t="s">
        <v>78</v>
      </c>
      <c r="G24" s="110" t="s">
        <v>80</v>
      </c>
      <c r="H24" s="110">
        <v>99140146</v>
      </c>
      <c r="I24" s="110">
        <v>48</v>
      </c>
      <c r="J24" s="110">
        <v>1760234</v>
      </c>
      <c r="K24" s="110" t="s">
        <v>46</v>
      </c>
      <c r="L24" s="87"/>
      <c r="M24" s="86"/>
      <c r="N24" s="88"/>
    </row>
    <row r="25" spans="1:14" ht="18" x14ac:dyDescent="0.35">
      <c r="A25" s="114">
        <v>22</v>
      </c>
      <c r="B25" s="110" t="s">
        <v>63</v>
      </c>
      <c r="C25" s="110" t="s">
        <v>74</v>
      </c>
      <c r="D25" s="110" t="str">
        <f t="shared" si="0"/>
        <v>PT0022EH-42-009</v>
      </c>
      <c r="E25" s="110" t="s">
        <v>63</v>
      </c>
      <c r="F25" s="111" t="s">
        <v>84</v>
      </c>
      <c r="G25" s="110" t="s">
        <v>85</v>
      </c>
      <c r="H25" s="110">
        <v>99140133</v>
      </c>
      <c r="I25" s="110">
        <v>48</v>
      </c>
      <c r="J25" s="110">
        <v>1760234</v>
      </c>
      <c r="K25" s="110" t="s">
        <v>46</v>
      </c>
      <c r="L25" s="73"/>
      <c r="M25" s="74"/>
      <c r="N25" s="70"/>
    </row>
    <row r="26" spans="1:14" ht="18" x14ac:dyDescent="0.35">
      <c r="A26" s="114">
        <v>23</v>
      </c>
      <c r="B26" s="110" t="s">
        <v>60</v>
      </c>
      <c r="C26" s="110" t="s">
        <v>73</v>
      </c>
      <c r="D26" s="110" t="str">
        <f t="shared" si="0"/>
        <v>PT0023EH-42-003</v>
      </c>
      <c r="E26" s="110" t="s">
        <v>60</v>
      </c>
      <c r="F26" s="110" t="s">
        <v>79</v>
      </c>
      <c r="G26" s="110" t="s">
        <v>81</v>
      </c>
      <c r="H26" s="110">
        <v>99140121</v>
      </c>
      <c r="I26" s="110">
        <v>48</v>
      </c>
      <c r="J26" s="110">
        <v>1760234</v>
      </c>
      <c r="K26" s="110" t="s">
        <v>46</v>
      </c>
      <c r="L26" s="73"/>
      <c r="M26" s="74"/>
      <c r="N26" s="70"/>
    </row>
    <row r="27" spans="1:14" ht="18" x14ac:dyDescent="0.35">
      <c r="A27" s="114">
        <v>24</v>
      </c>
      <c r="B27" s="110" t="s">
        <v>61</v>
      </c>
      <c r="C27" s="110" t="s">
        <v>72</v>
      </c>
      <c r="D27" s="110" t="str">
        <f t="shared" si="0"/>
        <v>PT0024EH-42-032</v>
      </c>
      <c r="E27" s="110" t="s">
        <v>61</v>
      </c>
      <c r="F27" s="111" t="s">
        <v>78</v>
      </c>
      <c r="G27" s="110" t="s">
        <v>82</v>
      </c>
      <c r="H27" s="110">
        <v>99140119</v>
      </c>
      <c r="I27" s="110">
        <v>48</v>
      </c>
      <c r="J27" s="110">
        <v>1760234</v>
      </c>
      <c r="K27" s="110" t="s">
        <v>46</v>
      </c>
      <c r="L27" s="73"/>
      <c r="M27" s="74"/>
      <c r="N27" s="70"/>
    </row>
    <row r="28" spans="1:14" ht="18" x14ac:dyDescent="0.35">
      <c r="A28" s="114">
        <v>25</v>
      </c>
      <c r="B28" s="110" t="s">
        <v>64</v>
      </c>
      <c r="C28" s="110" t="s">
        <v>74</v>
      </c>
      <c r="D28" s="110" t="str">
        <f t="shared" si="0"/>
        <v>PT0026EH-42-009</v>
      </c>
      <c r="E28" s="110" t="s">
        <v>64</v>
      </c>
      <c r="F28" s="111" t="s">
        <v>84</v>
      </c>
      <c r="G28" s="110" t="s">
        <v>86</v>
      </c>
      <c r="H28" s="110">
        <v>99140106</v>
      </c>
      <c r="I28" s="110">
        <v>48</v>
      </c>
      <c r="J28" s="110">
        <v>1760234</v>
      </c>
      <c r="K28" s="110" t="s">
        <v>46</v>
      </c>
      <c r="L28" s="73"/>
      <c r="M28" s="74"/>
      <c r="N28" s="70"/>
    </row>
    <row r="29" spans="1:14" s="89" customFormat="1" ht="18" x14ac:dyDescent="0.35">
      <c r="A29" s="114">
        <v>26</v>
      </c>
      <c r="B29" s="110" t="s">
        <v>62</v>
      </c>
      <c r="C29" s="110" t="s">
        <v>73</v>
      </c>
      <c r="D29" s="110" t="str">
        <f t="shared" si="0"/>
        <v>PT0027EH-42-003</v>
      </c>
      <c r="E29" s="110" t="s">
        <v>62</v>
      </c>
      <c r="F29" s="110" t="s">
        <v>79</v>
      </c>
      <c r="G29" s="110" t="s">
        <v>83</v>
      </c>
      <c r="H29" s="110">
        <v>99140090</v>
      </c>
      <c r="I29" s="110">
        <v>48</v>
      </c>
      <c r="J29" s="110">
        <v>1760234</v>
      </c>
      <c r="K29" s="110" t="s">
        <v>46</v>
      </c>
      <c r="L29" s="87"/>
      <c r="M29" s="86"/>
      <c r="N29" s="88"/>
    </row>
    <row r="30" spans="1:14" s="96" customFormat="1" ht="18" x14ac:dyDescent="0.35">
      <c r="A30" s="114">
        <v>27</v>
      </c>
      <c r="B30" s="110" t="s">
        <v>59</v>
      </c>
      <c r="C30" s="110" t="s">
        <v>72</v>
      </c>
      <c r="D30" s="110" t="str">
        <f t="shared" si="0"/>
        <v>PT0020EH-42-032</v>
      </c>
      <c r="E30" s="110" t="s">
        <v>59</v>
      </c>
      <c r="F30" s="110" t="s">
        <v>78</v>
      </c>
      <c r="G30" s="110" t="s">
        <v>80</v>
      </c>
      <c r="H30" s="110">
        <v>99140146</v>
      </c>
      <c r="I30" s="110">
        <v>144</v>
      </c>
      <c r="J30" s="110">
        <v>1760235</v>
      </c>
      <c r="K30" s="110" t="s">
        <v>47</v>
      </c>
      <c r="L30" s="93"/>
      <c r="M30" s="94"/>
      <c r="N30" s="95"/>
    </row>
    <row r="31" spans="1:14" ht="18" x14ac:dyDescent="0.35">
      <c r="A31" s="114">
        <v>28</v>
      </c>
      <c r="B31" s="110" t="s">
        <v>63</v>
      </c>
      <c r="C31" s="110" t="s">
        <v>74</v>
      </c>
      <c r="D31" s="110" t="str">
        <f t="shared" si="0"/>
        <v>PT0022EH-42-009</v>
      </c>
      <c r="E31" s="110" t="s">
        <v>63</v>
      </c>
      <c r="F31" s="110" t="s">
        <v>84</v>
      </c>
      <c r="G31" s="110" t="s">
        <v>85</v>
      </c>
      <c r="H31" s="110">
        <v>99140133</v>
      </c>
      <c r="I31" s="110">
        <v>144</v>
      </c>
      <c r="J31" s="110">
        <v>1760235</v>
      </c>
      <c r="K31" s="110" t="s">
        <v>47</v>
      </c>
      <c r="L31" s="73"/>
      <c r="M31" s="74"/>
      <c r="N31" s="70"/>
    </row>
    <row r="32" spans="1:14" ht="18" x14ac:dyDescent="0.35">
      <c r="A32" s="114">
        <v>29</v>
      </c>
      <c r="B32" s="110" t="s">
        <v>60</v>
      </c>
      <c r="C32" s="110" t="s">
        <v>73</v>
      </c>
      <c r="D32" s="110" t="str">
        <f t="shared" si="0"/>
        <v>PT0023EH-42-003</v>
      </c>
      <c r="E32" s="110" t="s">
        <v>60</v>
      </c>
      <c r="F32" s="111" t="s">
        <v>79</v>
      </c>
      <c r="G32" s="110" t="s">
        <v>81</v>
      </c>
      <c r="H32" s="110">
        <v>99140121</v>
      </c>
      <c r="I32" s="110">
        <v>192</v>
      </c>
      <c r="J32" s="110">
        <v>1760235</v>
      </c>
      <c r="K32" s="110" t="s">
        <v>47</v>
      </c>
      <c r="L32" s="73"/>
      <c r="M32" s="74"/>
      <c r="N32" s="70"/>
    </row>
    <row r="33" spans="1:14" ht="18" x14ac:dyDescent="0.35">
      <c r="A33" s="114">
        <v>30</v>
      </c>
      <c r="B33" s="110" t="s">
        <v>61</v>
      </c>
      <c r="C33" s="110" t="s">
        <v>72</v>
      </c>
      <c r="D33" s="110" t="str">
        <f t="shared" si="0"/>
        <v>PT0024EH-42-032</v>
      </c>
      <c r="E33" s="110" t="s">
        <v>61</v>
      </c>
      <c r="F33" s="111" t="s">
        <v>78</v>
      </c>
      <c r="G33" s="110" t="s">
        <v>82</v>
      </c>
      <c r="H33" s="110">
        <v>99140119</v>
      </c>
      <c r="I33" s="110">
        <v>144</v>
      </c>
      <c r="J33" s="110">
        <v>1760235</v>
      </c>
      <c r="K33" s="110" t="s">
        <v>47</v>
      </c>
      <c r="L33" s="73"/>
      <c r="M33" s="74"/>
      <c r="N33" s="70"/>
    </row>
    <row r="34" spans="1:14" ht="18" x14ac:dyDescent="0.35">
      <c r="A34" s="114">
        <v>31</v>
      </c>
      <c r="B34" s="110" t="s">
        <v>64</v>
      </c>
      <c r="C34" s="110" t="s">
        <v>74</v>
      </c>
      <c r="D34" s="110" t="str">
        <f t="shared" si="0"/>
        <v>PT0026EH-42-009</v>
      </c>
      <c r="E34" s="110" t="s">
        <v>64</v>
      </c>
      <c r="F34" s="111" t="s">
        <v>84</v>
      </c>
      <c r="G34" s="110" t="s">
        <v>86</v>
      </c>
      <c r="H34" s="110">
        <v>99140106</v>
      </c>
      <c r="I34" s="110">
        <v>144</v>
      </c>
      <c r="J34" s="110">
        <v>1760235</v>
      </c>
      <c r="K34" s="110" t="s">
        <v>47</v>
      </c>
      <c r="L34" s="73"/>
      <c r="M34" s="74"/>
      <c r="N34" s="70"/>
    </row>
    <row r="35" spans="1:14" s="96" customFormat="1" ht="18" x14ac:dyDescent="0.35">
      <c r="A35" s="114">
        <v>32</v>
      </c>
      <c r="B35" s="110" t="s">
        <v>62</v>
      </c>
      <c r="C35" s="110" t="s">
        <v>73</v>
      </c>
      <c r="D35" s="110" t="str">
        <f t="shared" si="0"/>
        <v>PT0027EH-42-003</v>
      </c>
      <c r="E35" s="110" t="s">
        <v>62</v>
      </c>
      <c r="F35" s="111" t="s">
        <v>79</v>
      </c>
      <c r="G35" s="110" t="s">
        <v>83</v>
      </c>
      <c r="H35" s="110">
        <v>99140090</v>
      </c>
      <c r="I35" s="110">
        <v>144</v>
      </c>
      <c r="J35" s="110">
        <v>1760235</v>
      </c>
      <c r="K35" s="110" t="s">
        <v>47</v>
      </c>
      <c r="L35" s="93"/>
      <c r="M35" s="94"/>
      <c r="N35" s="95"/>
    </row>
    <row r="36" spans="1:14" s="89" customFormat="1" ht="18" x14ac:dyDescent="0.35">
      <c r="A36" s="114">
        <v>33</v>
      </c>
      <c r="B36" s="110" t="s">
        <v>59</v>
      </c>
      <c r="C36" s="110" t="s">
        <v>72</v>
      </c>
      <c r="D36" s="110" t="str">
        <f t="shared" si="0"/>
        <v>PT0020EH-42-032</v>
      </c>
      <c r="E36" s="110" t="s">
        <v>59</v>
      </c>
      <c r="F36" s="112" t="s">
        <v>78</v>
      </c>
      <c r="G36" s="112" t="s">
        <v>80</v>
      </c>
      <c r="H36" s="92">
        <v>99140146</v>
      </c>
      <c r="I36" s="110">
        <v>288</v>
      </c>
      <c r="J36" s="110">
        <v>1760236</v>
      </c>
      <c r="K36" s="110" t="s">
        <v>48</v>
      </c>
      <c r="L36" s="87"/>
      <c r="M36" s="86"/>
      <c r="N36" s="88"/>
    </row>
    <row r="37" spans="1:14" ht="18" x14ac:dyDescent="0.35">
      <c r="A37" s="114">
        <v>34</v>
      </c>
      <c r="B37" s="110" t="s">
        <v>63</v>
      </c>
      <c r="C37" s="110" t="s">
        <v>74</v>
      </c>
      <c r="D37" s="110" t="str">
        <f t="shared" si="0"/>
        <v>PT0022EH-42-009</v>
      </c>
      <c r="E37" s="110" t="s">
        <v>63</v>
      </c>
      <c r="F37" s="111" t="s">
        <v>84</v>
      </c>
      <c r="G37" s="110" t="s">
        <v>85</v>
      </c>
      <c r="H37" s="92">
        <v>99140133</v>
      </c>
      <c r="I37" s="110">
        <v>288</v>
      </c>
      <c r="J37" s="110">
        <v>1760236</v>
      </c>
      <c r="K37" s="110" t="s">
        <v>48</v>
      </c>
      <c r="L37" s="73"/>
      <c r="M37" s="74"/>
      <c r="N37" s="70"/>
    </row>
    <row r="38" spans="1:14" ht="18" x14ac:dyDescent="0.35">
      <c r="A38" s="114">
        <v>35</v>
      </c>
      <c r="B38" s="110" t="s">
        <v>60</v>
      </c>
      <c r="C38" s="110" t="s">
        <v>73</v>
      </c>
      <c r="D38" s="110" t="str">
        <f t="shared" si="0"/>
        <v>PT0023EH-42-003</v>
      </c>
      <c r="E38" s="110" t="s">
        <v>60</v>
      </c>
      <c r="F38" s="111" t="s">
        <v>79</v>
      </c>
      <c r="G38" s="110" t="s">
        <v>81</v>
      </c>
      <c r="H38" s="92">
        <v>99140121</v>
      </c>
      <c r="I38" s="110">
        <v>288</v>
      </c>
      <c r="J38" s="110">
        <v>1760236</v>
      </c>
      <c r="K38" s="110" t="s">
        <v>48</v>
      </c>
      <c r="L38" s="73"/>
      <c r="M38" s="74"/>
      <c r="N38" s="70"/>
    </row>
    <row r="39" spans="1:14" ht="18" x14ac:dyDescent="0.35">
      <c r="A39" s="114">
        <v>36</v>
      </c>
      <c r="B39" s="110" t="s">
        <v>61</v>
      </c>
      <c r="C39" s="110" t="s">
        <v>72</v>
      </c>
      <c r="D39" s="110" t="str">
        <f t="shared" si="0"/>
        <v>PT0024EH-42-032</v>
      </c>
      <c r="E39" s="110" t="s">
        <v>61</v>
      </c>
      <c r="F39" s="110" t="s">
        <v>78</v>
      </c>
      <c r="G39" s="110" t="s">
        <v>82</v>
      </c>
      <c r="H39" s="92">
        <v>99140119</v>
      </c>
      <c r="I39" s="110">
        <v>288</v>
      </c>
      <c r="J39" s="110">
        <v>1760236</v>
      </c>
      <c r="K39" s="110" t="s">
        <v>48</v>
      </c>
      <c r="L39" s="73"/>
      <c r="M39" s="74"/>
      <c r="N39" s="70"/>
    </row>
    <row r="40" spans="1:14" ht="18" x14ac:dyDescent="0.35">
      <c r="A40" s="114">
        <v>37</v>
      </c>
      <c r="B40" s="110" t="s">
        <v>64</v>
      </c>
      <c r="C40" s="110" t="s">
        <v>74</v>
      </c>
      <c r="D40" s="110" t="str">
        <f t="shared" si="0"/>
        <v>PT0026EH-42-009</v>
      </c>
      <c r="E40" s="110" t="s">
        <v>64</v>
      </c>
      <c r="F40" s="110" t="s">
        <v>84</v>
      </c>
      <c r="G40" s="110" t="s">
        <v>86</v>
      </c>
      <c r="H40" s="92">
        <v>99140106</v>
      </c>
      <c r="I40" s="110">
        <v>288</v>
      </c>
      <c r="J40" s="110">
        <v>1760236</v>
      </c>
      <c r="K40" s="110" t="s">
        <v>48</v>
      </c>
      <c r="L40" s="73"/>
      <c r="M40" s="74"/>
      <c r="N40" s="70"/>
    </row>
    <row r="41" spans="1:14" s="89" customFormat="1" ht="18" x14ac:dyDescent="0.35">
      <c r="A41" s="114">
        <v>38</v>
      </c>
      <c r="B41" s="110" t="s">
        <v>62</v>
      </c>
      <c r="C41" s="110" t="s">
        <v>73</v>
      </c>
      <c r="D41" s="110" t="str">
        <f t="shared" si="0"/>
        <v>PT0027EH-42-003</v>
      </c>
      <c r="E41" s="110" t="s">
        <v>62</v>
      </c>
      <c r="F41" s="110" t="s">
        <v>79</v>
      </c>
      <c r="G41" s="110" t="s">
        <v>83</v>
      </c>
      <c r="H41" s="92">
        <v>99140090</v>
      </c>
      <c r="I41" s="110">
        <v>288</v>
      </c>
      <c r="J41" s="110">
        <v>1760236</v>
      </c>
      <c r="K41" s="110" t="s">
        <v>48</v>
      </c>
      <c r="L41" s="87"/>
      <c r="M41" s="86"/>
      <c r="N41" s="88"/>
    </row>
    <row r="42" spans="1:14" ht="18" x14ac:dyDescent="0.35">
      <c r="A42" s="114">
        <v>39</v>
      </c>
      <c r="B42" s="110" t="s">
        <v>65</v>
      </c>
      <c r="C42" s="110" t="s">
        <v>74</v>
      </c>
      <c r="D42" s="110" t="str">
        <f t="shared" si="0"/>
        <v>PT0034EH-42-009</v>
      </c>
      <c r="E42" s="110" t="s">
        <v>65</v>
      </c>
      <c r="F42" s="110" t="s">
        <v>84</v>
      </c>
      <c r="G42" s="110" t="s">
        <v>87</v>
      </c>
      <c r="H42" s="110">
        <v>99163089</v>
      </c>
      <c r="I42" s="110">
        <v>96</v>
      </c>
      <c r="J42" s="110">
        <v>1760237</v>
      </c>
      <c r="K42" s="110" t="s">
        <v>49</v>
      </c>
      <c r="L42" s="73"/>
      <c r="M42" s="74"/>
      <c r="N42" s="70"/>
    </row>
    <row r="43" spans="1:14" s="84" customFormat="1" ht="18" x14ac:dyDescent="0.35">
      <c r="A43" s="114">
        <v>40</v>
      </c>
      <c r="B43" s="110" t="s">
        <v>66</v>
      </c>
      <c r="C43" s="110" t="s">
        <v>74</v>
      </c>
      <c r="D43" s="110" t="str">
        <f t="shared" si="0"/>
        <v>PT0030EH-42-009</v>
      </c>
      <c r="E43" s="110" t="s">
        <v>66</v>
      </c>
      <c r="F43" s="110" t="s">
        <v>88</v>
      </c>
      <c r="G43" s="110" t="s">
        <v>89</v>
      </c>
      <c r="H43" s="110">
        <v>99163583</v>
      </c>
      <c r="I43" s="110">
        <v>96</v>
      </c>
      <c r="J43" s="110">
        <v>1760238</v>
      </c>
      <c r="K43" s="110" t="s">
        <v>50</v>
      </c>
      <c r="L43" s="81"/>
      <c r="M43" s="82"/>
      <c r="N43" s="83"/>
    </row>
    <row r="44" spans="1:14" s="84" customFormat="1" ht="18" x14ac:dyDescent="0.35">
      <c r="A44" s="114">
        <v>41</v>
      </c>
      <c r="B44" s="110" t="s">
        <v>67</v>
      </c>
      <c r="C44" s="110" t="s">
        <v>72</v>
      </c>
      <c r="D44" s="110" t="str">
        <f t="shared" si="0"/>
        <v>PT0031EH-42-032</v>
      </c>
      <c r="E44" s="110" t="s">
        <v>67</v>
      </c>
      <c r="F44" s="110" t="s">
        <v>78</v>
      </c>
      <c r="G44" s="110" t="s">
        <v>90</v>
      </c>
      <c r="H44" s="110">
        <v>99163571</v>
      </c>
      <c r="I44" s="110">
        <v>96</v>
      </c>
      <c r="J44" s="110">
        <v>1760238</v>
      </c>
      <c r="K44" s="110" t="s">
        <v>50</v>
      </c>
      <c r="L44" s="81"/>
      <c r="M44" s="82"/>
      <c r="N44" s="83"/>
    </row>
    <row r="45" spans="1:14" s="100" customFormat="1" ht="18" x14ac:dyDescent="0.35">
      <c r="A45" s="114">
        <v>42</v>
      </c>
      <c r="B45" s="110" t="s">
        <v>68</v>
      </c>
      <c r="C45" s="110" t="s">
        <v>73</v>
      </c>
      <c r="D45" s="110" t="str">
        <f t="shared" si="0"/>
        <v>PT0032EH-42-003</v>
      </c>
      <c r="E45" s="110" t="s">
        <v>68</v>
      </c>
      <c r="F45" s="110" t="s">
        <v>91</v>
      </c>
      <c r="G45" s="110" t="s">
        <v>93</v>
      </c>
      <c r="H45" s="110">
        <v>99163077</v>
      </c>
      <c r="I45" s="110">
        <v>216</v>
      </c>
      <c r="J45" s="110">
        <v>1760239</v>
      </c>
      <c r="K45" s="110" t="s">
        <v>51</v>
      </c>
      <c r="L45" s="97"/>
      <c r="M45" s="98"/>
      <c r="N45" s="99"/>
    </row>
    <row r="46" spans="1:14" ht="18" x14ac:dyDescent="0.35">
      <c r="A46" s="114">
        <v>43</v>
      </c>
      <c r="B46" s="110" t="s">
        <v>65</v>
      </c>
      <c r="C46" s="110" t="s">
        <v>74</v>
      </c>
      <c r="D46" s="110" t="str">
        <f t="shared" si="0"/>
        <v>PT0034EH-42-009</v>
      </c>
      <c r="E46" s="110" t="s">
        <v>65</v>
      </c>
      <c r="F46" s="110" t="s">
        <v>84</v>
      </c>
      <c r="G46" s="110" t="s">
        <v>87</v>
      </c>
      <c r="H46" s="110">
        <v>99163089</v>
      </c>
      <c r="I46" s="110">
        <v>240</v>
      </c>
      <c r="J46" s="110">
        <v>1760239</v>
      </c>
      <c r="K46" s="110" t="s">
        <v>51</v>
      </c>
      <c r="L46" s="73"/>
      <c r="M46" s="74"/>
      <c r="N46" s="70"/>
    </row>
    <row r="47" spans="1:14" ht="18" x14ac:dyDescent="0.35">
      <c r="A47" s="114">
        <v>44</v>
      </c>
      <c r="B47" s="110" t="s">
        <v>69</v>
      </c>
      <c r="C47" s="110" t="s">
        <v>75</v>
      </c>
      <c r="D47" s="110" t="str">
        <f t="shared" si="0"/>
        <v>PT0035EH-42-001</v>
      </c>
      <c r="E47" s="110" t="s">
        <v>69</v>
      </c>
      <c r="F47" s="110" t="s">
        <v>92</v>
      </c>
      <c r="G47" s="110" t="s">
        <v>94</v>
      </c>
      <c r="H47" s="110">
        <v>99163064</v>
      </c>
      <c r="I47" s="110">
        <v>120</v>
      </c>
      <c r="J47" s="110">
        <v>1760239</v>
      </c>
      <c r="K47" s="110" t="s">
        <v>51</v>
      </c>
      <c r="L47" s="73"/>
      <c r="M47" s="74"/>
      <c r="N47" s="70"/>
    </row>
    <row r="48" spans="1:14" s="104" customFormat="1" ht="18" x14ac:dyDescent="0.35">
      <c r="A48" s="114">
        <v>45</v>
      </c>
      <c r="B48" s="110" t="s">
        <v>68</v>
      </c>
      <c r="C48" s="110" t="s">
        <v>73</v>
      </c>
      <c r="D48" s="110" t="str">
        <f t="shared" si="0"/>
        <v>PT0032EH-42-003</v>
      </c>
      <c r="E48" s="110" t="s">
        <v>68</v>
      </c>
      <c r="F48" s="110" t="s">
        <v>91</v>
      </c>
      <c r="G48" s="110" t="s">
        <v>93</v>
      </c>
      <c r="H48" s="110">
        <v>99163077</v>
      </c>
      <c r="I48" s="110">
        <v>24</v>
      </c>
      <c r="J48" s="110">
        <v>1760240</v>
      </c>
      <c r="K48" s="110" t="s">
        <v>52</v>
      </c>
      <c r="L48" s="101"/>
      <c r="M48" s="102"/>
      <c r="N48" s="103"/>
    </row>
    <row r="49" spans="1:14" ht="18" x14ac:dyDescent="0.35">
      <c r="A49" s="114">
        <v>46</v>
      </c>
      <c r="B49" s="110" t="s">
        <v>65</v>
      </c>
      <c r="C49" s="110" t="s">
        <v>74</v>
      </c>
      <c r="D49" s="110" t="str">
        <f t="shared" si="0"/>
        <v>PT0034EH-42-009</v>
      </c>
      <c r="E49" s="110" t="s">
        <v>65</v>
      </c>
      <c r="F49" s="110" t="s">
        <v>84</v>
      </c>
      <c r="G49" s="110" t="s">
        <v>87</v>
      </c>
      <c r="H49" s="110">
        <v>99163089</v>
      </c>
      <c r="I49" s="110">
        <v>24</v>
      </c>
      <c r="J49" s="110">
        <v>1760240</v>
      </c>
      <c r="K49" s="110" t="s">
        <v>52</v>
      </c>
      <c r="L49" s="73"/>
      <c r="M49" s="74"/>
      <c r="N49" s="70"/>
    </row>
    <row r="50" spans="1:14" ht="18" x14ac:dyDescent="0.35">
      <c r="A50" s="114">
        <v>47</v>
      </c>
      <c r="B50" s="110" t="s">
        <v>69</v>
      </c>
      <c r="C50" s="110" t="s">
        <v>75</v>
      </c>
      <c r="D50" s="110" t="str">
        <f t="shared" si="0"/>
        <v>PT0035EH-42-001</v>
      </c>
      <c r="E50" s="110" t="s">
        <v>69</v>
      </c>
      <c r="F50" s="110" t="s">
        <v>92</v>
      </c>
      <c r="G50" s="110" t="s">
        <v>94</v>
      </c>
      <c r="H50" s="110">
        <v>99163064</v>
      </c>
      <c r="I50" s="110">
        <v>24</v>
      </c>
      <c r="J50" s="110">
        <v>1760240</v>
      </c>
      <c r="K50" s="110" t="s">
        <v>52</v>
      </c>
      <c r="L50" s="73"/>
      <c r="M50" s="74"/>
      <c r="N50" s="70"/>
    </row>
    <row r="51" spans="1:14" s="108" customFormat="1" ht="18" x14ac:dyDescent="0.35">
      <c r="A51" s="114">
        <v>48</v>
      </c>
      <c r="B51" s="110" t="s">
        <v>68</v>
      </c>
      <c r="C51" s="110" t="s">
        <v>73</v>
      </c>
      <c r="D51" s="110" t="str">
        <f t="shared" si="0"/>
        <v>PT0032EH-42-003</v>
      </c>
      <c r="E51" s="110" t="s">
        <v>68</v>
      </c>
      <c r="F51" s="110" t="s">
        <v>91</v>
      </c>
      <c r="G51" s="110" t="s">
        <v>93</v>
      </c>
      <c r="H51" s="92">
        <v>99163077</v>
      </c>
      <c r="I51" s="110">
        <v>144</v>
      </c>
      <c r="J51" s="110">
        <v>1760241</v>
      </c>
      <c r="K51" s="110" t="s">
        <v>53</v>
      </c>
      <c r="L51" s="105"/>
      <c r="M51" s="106"/>
      <c r="N51" s="107"/>
    </row>
    <row r="52" spans="1:14" ht="18" x14ac:dyDescent="0.35">
      <c r="A52" s="114">
        <v>49</v>
      </c>
      <c r="B52" s="110" t="s">
        <v>65</v>
      </c>
      <c r="C52" s="110" t="s">
        <v>74</v>
      </c>
      <c r="D52" s="110" t="str">
        <f t="shared" si="0"/>
        <v>PT0034EH-42-009</v>
      </c>
      <c r="E52" s="110" t="s">
        <v>65</v>
      </c>
      <c r="F52" s="110" t="s">
        <v>84</v>
      </c>
      <c r="G52" s="110" t="s">
        <v>87</v>
      </c>
      <c r="H52" s="92">
        <v>99163089</v>
      </c>
      <c r="I52" s="110">
        <v>144</v>
      </c>
      <c r="J52" s="110">
        <v>1760241</v>
      </c>
      <c r="K52" s="110" t="s">
        <v>53</v>
      </c>
      <c r="L52" s="73"/>
      <c r="M52" s="74"/>
      <c r="N52" s="70"/>
    </row>
    <row r="53" spans="1:14" ht="18" x14ac:dyDescent="0.35">
      <c r="A53" s="114">
        <v>50</v>
      </c>
      <c r="B53" s="110" t="s">
        <v>69</v>
      </c>
      <c r="C53" s="110" t="s">
        <v>75</v>
      </c>
      <c r="D53" s="110" t="str">
        <f t="shared" si="0"/>
        <v>PT0035EH-42-001</v>
      </c>
      <c r="E53" s="110" t="s">
        <v>69</v>
      </c>
      <c r="F53" s="110" t="s">
        <v>92</v>
      </c>
      <c r="G53" s="110" t="s">
        <v>94</v>
      </c>
      <c r="H53" s="92">
        <v>99163064</v>
      </c>
      <c r="I53" s="110">
        <v>72</v>
      </c>
      <c r="J53" s="110">
        <v>1760241</v>
      </c>
      <c r="K53" s="110" t="s">
        <v>53</v>
      </c>
      <c r="L53" s="73"/>
      <c r="M53" s="74"/>
      <c r="N53" s="70"/>
    </row>
    <row r="54" spans="1:14" s="108" customFormat="1" ht="18" x14ac:dyDescent="0.35">
      <c r="A54" s="114">
        <v>51</v>
      </c>
      <c r="B54" s="110" t="s">
        <v>66</v>
      </c>
      <c r="C54" s="110" t="s">
        <v>74</v>
      </c>
      <c r="D54" s="110" t="str">
        <f t="shared" si="0"/>
        <v>PT0030EH-42-009</v>
      </c>
      <c r="E54" s="110" t="s">
        <v>66</v>
      </c>
      <c r="F54" s="110" t="s">
        <v>84</v>
      </c>
      <c r="G54" s="110" t="s">
        <v>89</v>
      </c>
      <c r="H54" s="110">
        <v>99163583</v>
      </c>
      <c r="I54" s="110">
        <v>144</v>
      </c>
      <c r="J54" s="110">
        <v>1760242</v>
      </c>
      <c r="K54" s="110" t="s">
        <v>54</v>
      </c>
      <c r="L54" s="105"/>
      <c r="M54" s="106"/>
      <c r="N54" s="107"/>
    </row>
    <row r="55" spans="1:14" ht="18" x14ac:dyDescent="0.35">
      <c r="A55" s="114">
        <v>52</v>
      </c>
      <c r="B55" s="110" t="s">
        <v>67</v>
      </c>
      <c r="C55" s="110" t="s">
        <v>72</v>
      </c>
      <c r="D55" s="110" t="str">
        <f t="shared" si="0"/>
        <v>PT0031EH-42-032</v>
      </c>
      <c r="E55" s="110" t="s">
        <v>67</v>
      </c>
      <c r="F55" s="110" t="s">
        <v>78</v>
      </c>
      <c r="G55" s="110" t="s">
        <v>90</v>
      </c>
      <c r="H55" s="110">
        <v>99163571</v>
      </c>
      <c r="I55" s="110">
        <v>144</v>
      </c>
      <c r="J55" s="110">
        <v>1760242</v>
      </c>
      <c r="K55" s="110" t="s">
        <v>54</v>
      </c>
      <c r="L55" s="73"/>
      <c r="M55" s="74"/>
      <c r="N55" s="70"/>
    </row>
    <row r="56" spans="1:14" s="108" customFormat="1" ht="18" x14ac:dyDescent="0.35">
      <c r="A56" s="114">
        <v>53</v>
      </c>
      <c r="B56" s="110" t="s">
        <v>66</v>
      </c>
      <c r="C56" s="110" t="s">
        <v>74</v>
      </c>
      <c r="D56" s="110" t="str">
        <f t="shared" si="0"/>
        <v>PT0030EH-42-009</v>
      </c>
      <c r="E56" s="110" t="s">
        <v>66</v>
      </c>
      <c r="F56" s="110" t="s">
        <v>84</v>
      </c>
      <c r="G56" s="110" t="s">
        <v>89</v>
      </c>
      <c r="H56" s="92">
        <v>99163583</v>
      </c>
      <c r="I56" s="110">
        <v>24</v>
      </c>
      <c r="J56" s="110">
        <v>1760243</v>
      </c>
      <c r="K56" s="110" t="s">
        <v>55</v>
      </c>
      <c r="L56" s="105"/>
      <c r="M56" s="106"/>
      <c r="N56" s="107"/>
    </row>
    <row r="57" spans="1:14" ht="18" x14ac:dyDescent="0.35">
      <c r="A57" s="114">
        <v>54</v>
      </c>
      <c r="B57" s="110" t="s">
        <v>67</v>
      </c>
      <c r="C57" s="110" t="s">
        <v>72</v>
      </c>
      <c r="D57" s="110" t="str">
        <f t="shared" si="0"/>
        <v>PT0031EH-42-032</v>
      </c>
      <c r="E57" s="110" t="s">
        <v>67</v>
      </c>
      <c r="F57" s="110" t="s">
        <v>78</v>
      </c>
      <c r="G57" s="110" t="s">
        <v>90</v>
      </c>
      <c r="H57" s="92">
        <v>99163571</v>
      </c>
      <c r="I57" s="110">
        <v>24</v>
      </c>
      <c r="J57" s="110">
        <v>1760243</v>
      </c>
      <c r="K57" s="110" t="s">
        <v>55</v>
      </c>
      <c r="L57" s="73"/>
      <c r="M57" s="74"/>
      <c r="N57" s="70"/>
    </row>
    <row r="58" spans="1:14" s="108" customFormat="1" ht="18" x14ac:dyDescent="0.35">
      <c r="A58" s="114">
        <v>55</v>
      </c>
      <c r="B58" s="110" t="s">
        <v>66</v>
      </c>
      <c r="C58" s="110" t="s">
        <v>74</v>
      </c>
      <c r="D58" s="110" t="str">
        <f t="shared" si="0"/>
        <v>PT0030EH-42-009</v>
      </c>
      <c r="E58" s="110" t="s">
        <v>66</v>
      </c>
      <c r="F58" s="110" t="s">
        <v>84</v>
      </c>
      <c r="G58" s="110" t="s">
        <v>89</v>
      </c>
      <c r="H58" s="92">
        <v>99163583</v>
      </c>
      <c r="I58" s="110">
        <v>240</v>
      </c>
      <c r="J58" s="110">
        <v>1760244</v>
      </c>
      <c r="K58" s="110" t="s">
        <v>56</v>
      </c>
      <c r="L58" s="105"/>
      <c r="M58" s="106"/>
      <c r="N58" s="107"/>
    </row>
    <row r="59" spans="1:14" ht="18" x14ac:dyDescent="0.35">
      <c r="A59" s="114">
        <v>56</v>
      </c>
      <c r="B59" s="110" t="s">
        <v>67</v>
      </c>
      <c r="C59" s="110" t="s">
        <v>72</v>
      </c>
      <c r="D59" s="110" t="str">
        <f t="shared" si="0"/>
        <v>PT0031EH-42-032</v>
      </c>
      <c r="E59" s="110" t="s">
        <v>67</v>
      </c>
      <c r="F59" s="110" t="s">
        <v>78</v>
      </c>
      <c r="G59" s="110" t="s">
        <v>90</v>
      </c>
      <c r="H59" s="92">
        <v>99163571</v>
      </c>
      <c r="I59" s="110">
        <v>240</v>
      </c>
      <c r="J59" s="110">
        <v>1760244</v>
      </c>
      <c r="K59" s="110" t="s">
        <v>56</v>
      </c>
      <c r="L59" s="73"/>
      <c r="M59" s="74"/>
      <c r="N59" s="70"/>
    </row>
    <row r="60" spans="1:14" s="108" customFormat="1" ht="18" x14ac:dyDescent="0.35">
      <c r="A60" s="114">
        <v>57</v>
      </c>
      <c r="B60" s="110" t="s">
        <v>70</v>
      </c>
      <c r="C60" s="110" t="s">
        <v>76</v>
      </c>
      <c r="D60" s="110" t="str">
        <f t="shared" si="0"/>
        <v>PL0314AS-L03</v>
      </c>
      <c r="E60" s="110" t="s">
        <v>70</v>
      </c>
      <c r="F60" s="110" t="s">
        <v>95</v>
      </c>
      <c r="G60" s="110" t="s">
        <v>96</v>
      </c>
      <c r="H60" s="110">
        <v>154890</v>
      </c>
      <c r="I60" s="110">
        <v>360</v>
      </c>
      <c r="J60" s="110">
        <v>1760245</v>
      </c>
      <c r="K60" s="110" t="s">
        <v>57</v>
      </c>
      <c r="L60" s="105"/>
      <c r="M60" s="109"/>
      <c r="N60" s="107"/>
    </row>
    <row r="61" spans="1:14" ht="18" x14ac:dyDescent="0.35">
      <c r="A61" s="114">
        <v>58</v>
      </c>
      <c r="B61" s="110" t="s">
        <v>71</v>
      </c>
      <c r="C61" s="110" t="s">
        <v>77</v>
      </c>
      <c r="D61" s="110" t="str">
        <f t="shared" si="0"/>
        <v>PL1607AS-GMI</v>
      </c>
      <c r="E61" s="110" t="s">
        <v>71</v>
      </c>
      <c r="F61" s="110" t="s">
        <v>95</v>
      </c>
      <c r="G61" s="110" t="s">
        <v>97</v>
      </c>
      <c r="H61" s="110">
        <v>154906</v>
      </c>
      <c r="I61" s="110">
        <v>576</v>
      </c>
      <c r="J61" s="110">
        <v>1760245</v>
      </c>
      <c r="K61" s="110" t="s">
        <v>57</v>
      </c>
      <c r="L61" s="73"/>
      <c r="M61" s="67"/>
      <c r="N61" s="70"/>
    </row>
    <row r="62" spans="1:14" ht="18" x14ac:dyDescent="0.35">
      <c r="A62" s="114">
        <v>59</v>
      </c>
      <c r="B62" s="110" t="s">
        <v>70</v>
      </c>
      <c r="C62" s="110" t="s">
        <v>76</v>
      </c>
      <c r="D62" s="110" t="str">
        <f t="shared" si="0"/>
        <v>PL0314AS-L03</v>
      </c>
      <c r="E62" s="110" t="s">
        <v>70</v>
      </c>
      <c r="F62" s="110" t="s">
        <v>95</v>
      </c>
      <c r="G62" s="110" t="s">
        <v>96</v>
      </c>
      <c r="H62" s="110">
        <v>154890</v>
      </c>
      <c r="I62" s="110">
        <v>216</v>
      </c>
      <c r="J62" s="110">
        <v>1760246</v>
      </c>
      <c r="K62" s="110" t="s">
        <v>58</v>
      </c>
      <c r="L62" s="73"/>
      <c r="M62" s="67"/>
      <c r="N62" s="70"/>
    </row>
    <row r="63" spans="1:14" ht="13" x14ac:dyDescent="0.25">
      <c r="A63" s="69">
        <v>60</v>
      </c>
      <c r="B63" s="85"/>
      <c r="C63" s="115"/>
      <c r="D63" s="116"/>
      <c r="E63" s="116"/>
      <c r="I63" s="116"/>
      <c r="J63" s="116"/>
      <c r="K63" s="116"/>
      <c r="L63" s="73"/>
      <c r="M63" s="67"/>
      <c r="N63" s="70"/>
    </row>
    <row r="64" spans="1:14" ht="15.75" customHeight="1" x14ac:dyDescent="0.25">
      <c r="B64" s="3"/>
      <c r="C64" s="37"/>
    </row>
    <row r="65" spans="1:7" ht="20" x14ac:dyDescent="0.4">
      <c r="A65" s="7" t="s">
        <v>4</v>
      </c>
      <c r="B65" s="3"/>
      <c r="C65" s="37"/>
    </row>
    <row r="66" spans="1:7" ht="15.5" x14ac:dyDescent="0.35">
      <c r="A66" s="6"/>
      <c r="B66" s="4"/>
      <c r="C66" s="38"/>
    </row>
    <row r="67" spans="1:7" ht="23" x14ac:dyDescent="0.5">
      <c r="A67" s="5" t="str">
        <f>D4</f>
        <v>PT# SEE BELOW</v>
      </c>
    </row>
    <row r="68" spans="1:7" x14ac:dyDescent="0.25">
      <c r="D68" s="3"/>
      <c r="F68" s="3"/>
      <c r="G68" s="3"/>
    </row>
    <row r="69" spans="1:7" ht="23" x14ac:dyDescent="0.5">
      <c r="B69" s="47"/>
      <c r="C69" s="37"/>
      <c r="E69" s="3"/>
    </row>
    <row r="70" spans="1:7" ht="23" x14ac:dyDescent="0.5">
      <c r="A70" s="47" t="s">
        <v>24</v>
      </c>
    </row>
    <row r="72" spans="1:7" ht="13" thickBot="1" x14ac:dyDescent="0.3"/>
    <row r="73" spans="1:7" ht="13" thickBot="1" x14ac:dyDescent="0.3">
      <c r="D73" s="42"/>
    </row>
    <row r="74" spans="1:7" ht="13.5" thickBot="1" x14ac:dyDescent="0.35">
      <c r="B74" s="42"/>
      <c r="C74" s="58"/>
      <c r="D74" s="59" t="s">
        <v>9</v>
      </c>
      <c r="E74" s="22"/>
    </row>
    <row r="75" spans="1:7" ht="13" x14ac:dyDescent="0.3">
      <c r="A75" s="42"/>
      <c r="B75" s="59" t="s">
        <v>6</v>
      </c>
      <c r="C75" s="59" t="s">
        <v>7</v>
      </c>
      <c r="D75" s="62" t="str">
        <f>INDEX($A$20:$I$63,$A76,4)</f>
        <v>PT0020EH-42-032</v>
      </c>
      <c r="E75" s="57" t="s">
        <v>8</v>
      </c>
    </row>
    <row r="76" spans="1:7" ht="16" thickBot="1" x14ac:dyDescent="0.4">
      <c r="A76" s="49">
        <v>1</v>
      </c>
      <c r="B76" s="60" t="str">
        <f>INDEX($A$20:$I$63,$A76,2)</f>
        <v>PT0020EH-42</v>
      </c>
      <c r="C76" s="61" t="str">
        <f>INDEX($A$20:$I$63,$A76,3)</f>
        <v>032</v>
      </c>
      <c r="D76" s="17"/>
      <c r="E76" s="60">
        <f>INDEX($A$20:$I$63,$A76,9)</f>
        <v>144</v>
      </c>
    </row>
    <row r="77" spans="1:7" ht="15.5" x14ac:dyDescent="0.35">
      <c r="A77" s="18"/>
      <c r="B77" s="16"/>
      <c r="C77" s="39"/>
      <c r="D77" s="24"/>
      <c r="E77" s="20"/>
    </row>
    <row r="78" spans="1:7" ht="15.5" x14ac:dyDescent="0.35">
      <c r="A78" s="19"/>
      <c r="B78" s="23" t="s">
        <v>25</v>
      </c>
      <c r="C78" s="29"/>
      <c r="D78" s="24"/>
      <c r="E78" s="9"/>
    </row>
    <row r="79" spans="1:7" ht="15.5" x14ac:dyDescent="0.35">
      <c r="A79" s="19"/>
      <c r="B79" s="23" t="s">
        <v>26</v>
      </c>
      <c r="C79" s="29"/>
      <c r="D79" s="25"/>
      <c r="E79" s="9"/>
    </row>
    <row r="80" spans="1:7" ht="15.5" x14ac:dyDescent="0.35">
      <c r="A80" s="19"/>
      <c r="B80" s="23" t="s">
        <v>27</v>
      </c>
      <c r="C80" s="29"/>
      <c r="D80" s="26"/>
      <c r="E80" s="9"/>
    </row>
    <row r="81" spans="1:5" ht="15.5" x14ac:dyDescent="0.35">
      <c r="A81" s="19"/>
      <c r="B81" s="23" t="s">
        <v>28</v>
      </c>
      <c r="C81" s="29"/>
      <c r="D81" s="28"/>
      <c r="E81" s="9"/>
    </row>
    <row r="82" spans="1:5" ht="15.5" x14ac:dyDescent="0.35">
      <c r="A82" s="19"/>
      <c r="B82" s="27" t="str">
        <f>$D$5</f>
        <v>PO#: SEE BELOW</v>
      </c>
      <c r="C82" s="40"/>
      <c r="D82" s="28"/>
      <c r="E82" s="9"/>
    </row>
    <row r="83" spans="1:5" ht="15.5" x14ac:dyDescent="0.35">
      <c r="A83" s="19"/>
      <c r="B83" s="44" t="str">
        <f>"SKU#: "&amp;INDEX($A$20:$I$63,A76,8)</f>
        <v>SKU#: 99140146</v>
      </c>
      <c r="D83" s="28"/>
      <c r="E83" s="9"/>
    </row>
    <row r="84" spans="1:5" ht="15.5" x14ac:dyDescent="0.35">
      <c r="A84" s="19"/>
      <c r="B84" s="46" t="e">
        <f>"DEPT#: "&amp;TEXT(#REF!,"000")</f>
        <v>#REF!</v>
      </c>
      <c r="C84" s="40"/>
      <c r="D84" s="28"/>
      <c r="E84" s="9"/>
    </row>
    <row r="85" spans="1:5" ht="15.5" x14ac:dyDescent="0.35">
      <c r="A85" s="19"/>
      <c r="B85" s="27" t="s">
        <v>11</v>
      </c>
      <c r="C85" s="29" t="str">
        <f>INDEX($A$20:$I$63,A76,5)&amp;"/"&amp;INDEX($A$20:$I$63,A76,6)</f>
        <v>PT0020EH-42/Blue</v>
      </c>
      <c r="D85" s="28"/>
      <c r="E85" s="9"/>
    </row>
    <row r="86" spans="1:5" ht="15.5" x14ac:dyDescent="0.35">
      <c r="A86" s="19"/>
      <c r="B86" s="27" t="s">
        <v>12</v>
      </c>
      <c r="C86" s="29" t="str">
        <f>INDEX($A$20:$H21,A76,7)</f>
        <v>EDH BLU USBCtoC 6FT braided nylon CBL</v>
      </c>
      <c r="D86" s="28"/>
      <c r="E86" s="9"/>
    </row>
    <row r="87" spans="1:5" ht="15.5" x14ac:dyDescent="0.35">
      <c r="A87" s="19"/>
      <c r="B87" s="27" t="s">
        <v>19</v>
      </c>
      <c r="C87" s="29"/>
      <c r="D87" s="28"/>
      <c r="E87" s="9"/>
    </row>
    <row r="88" spans="1:5" ht="16" thickBot="1" x14ac:dyDescent="0.4">
      <c r="A88" s="19"/>
      <c r="B88" s="27" t="s">
        <v>13</v>
      </c>
      <c r="C88" s="29"/>
      <c r="D88" s="11"/>
      <c r="E88" s="9"/>
    </row>
    <row r="89" spans="1:5" ht="13.5" thickBot="1" x14ac:dyDescent="0.35">
      <c r="A89" s="19"/>
      <c r="B89" s="10"/>
      <c r="C89" s="41"/>
      <c r="E89" s="12"/>
    </row>
    <row r="90" spans="1:5" ht="13" thickBot="1" x14ac:dyDescent="0.3">
      <c r="A90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42</v>
      </c>
      <c r="E1" s="72" t="s">
        <v>34</v>
      </c>
      <c r="F1" s="72" t="s">
        <v>43</v>
      </c>
    </row>
    <row r="2" spans="1:6" x14ac:dyDescent="0.25">
      <c r="A2" s="50" t="s">
        <v>44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44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44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44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44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44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2022-01-24T15:57:23Z</cp:lastPrinted>
  <dcterms:created xsi:type="dcterms:W3CDTF">2008-06-06T20:54:57Z</dcterms:created>
  <dcterms:modified xsi:type="dcterms:W3CDTF">2026-05-26T19:42:58Z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