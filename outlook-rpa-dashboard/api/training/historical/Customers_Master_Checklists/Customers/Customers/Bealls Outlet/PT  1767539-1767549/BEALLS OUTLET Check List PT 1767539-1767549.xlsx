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249" documentId="8_{0EBB2938-9D16-473B-B306-699D55C5D276}" xr6:coauthVersionLast="47" xr6:coauthVersionMax="47" xr10:uidLastSave="{CDCFDD03-8CA9-4592-91BE-80048F8B0E4D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0" i="1"/>
  <c r="D21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<sst xmlns="http://schemas.openxmlformats.org/spreadsheetml/2006/main" count="102" uniqueCount="67">
  <si>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</si>
  <si>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</si>
  <si>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</si>
  <si>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</si>
  <si>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</si>
  <si>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</si>
  <si>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</si>
  <si>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</si>
  <si>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</si>
  <si>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</si>
  <si>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</si>
  <si>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</si>
  <si>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</si>
  <si>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</si>
  <si>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</si>
  <si>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</si>
  <si>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</si>
  <si>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</si>
  <si>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</si>
  <si>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</si>
  <si>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</si>
  <si>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</si>
  <si>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</si>
  <si>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</si>
  <si>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</si>
  <si>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</si>
  <si>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</si>
  <si>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</si>
  <si>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</si>
  <si>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</si>
  <si>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</si>
  <si>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</si>
  <si>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</si>
  <si>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</si>
  <si>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</si>
  <si>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</si>
  <si>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</si>
  <si>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</si>
  <si>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</si>
  <si>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</si>
  <si>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</si>
  <si>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</si>
  <si>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</si>
  <si>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</si>
  <si>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</si>
  <si>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</si>
  <si>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PL1838BE-42</t>
  </si>
  <si>
    <t>PL1838BE</t>
  </si>
  <si>
    <t>No Color</t>
  </si>
  <si>
    <t>PL1646AS</t>
  </si>
  <si>
    <t>PM0466AS-42</t>
  </si>
  <si>
    <t>PM0467AS-42</t>
  </si>
  <si>
    <t>990</t>
  </si>
  <si>
    <t>172</t>
  </si>
  <si>
    <t>1882960</t>
  </si>
  <si>
    <t>1882975</t>
  </si>
  <si>
    <t>1889205</t>
  </si>
  <si>
    <t>1889206</t>
  </si>
  <si>
    <t>1889207</t>
  </si>
  <si>
    <t>1889210</t>
  </si>
  <si>
    <t>1889211</t>
  </si>
  <si>
    <t>1889213</t>
  </si>
  <si>
    <t>MENS PLANTAR FASCIITIS</t>
  </si>
  <si>
    <t>PM0467AS 42</t>
  </si>
  <si>
    <t>PM0466AS 42</t>
  </si>
  <si>
    <t>MENS WORK</t>
  </si>
  <si>
    <t>WOMENS PLANTAR FASCIITIS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</si>
</sst>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4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  <font>
      <u/>
      <sz val="14"/>
      <color theme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8" borderId="18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1" fillId="0" borderId="11" xfId="0" applyFont="1" applyBorder="1"/>
    <xf numFmtId="0" fontId="33" fillId="11" borderId="11" xfId="1" applyFont="1" applyFill="1" applyBorder="1" applyAlignment="1">
      <alignment vertical="center" wrapText="1"/>
    </xf>
    <xf numFmtId="0" fontId="31" fillId="6" borderId="11" xfId="0" quotePrefix="1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 vertical="center"/>
    </xf>
    <xf numFmtId="0" fontId="31" fillId="11" borderId="11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9525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9525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9525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H38" sqref="H38"/>
    </sheetView>
  </sheetViews>
  <sheetFormatPr defaultRowHeight="12.75" x14ac:dyDescent="0.2"/>
  <cols>
    <col min="1" max="1" width="15.85546875" customWidth="1"/>
    <col min="2" max="2" width="22.85546875" customWidth="1"/>
    <col min="3" max="3" width="16" style="33" customWidth="1"/>
    <col min="4" max="4" width="25.140625" customWidth="1"/>
    <col min="5" max="5" width="19.28515625" customWidth="1"/>
    <col min="6" max="6" width="15.42578125" customWidth="1"/>
    <col min="7" max="7" width="43.85546875" customWidth="1"/>
    <col min="8" max="8" width="22.5703125" bestFit="1" customWidth="1"/>
    <col min="9" max="12" width="17.7109375" customWidth="1"/>
    <col min="13" max="13" width="23.5703125" bestFit="1" customWidth="1"/>
    <col min="14" max="14" width="25.5703125" customWidth="1"/>
    <col min="15" max="15" width="16.85546875" customWidth="1"/>
    <col min="17" max="17" width="16.85546875" bestFit="1" customWidth="1"/>
    <col min="18" max="18" width="21.7109375" customWidth="1"/>
  </cols>
  <sheetData>
    <row r="1" spans="1:17" ht="13.5" thickBot="1" x14ac:dyDescent="0.25"/>
    <row r="2" spans="1:17" ht="24" thickBot="1" x14ac:dyDescent="0.4">
      <c r="E2" s="86" t="s">
        <v>32</v>
      </c>
      <c r="F2" s="87"/>
      <c r="G2" s="88"/>
    </row>
    <row r="4" spans="1:17" ht="18" x14ac:dyDescent="0.25">
      <c r="A4" s="1" t="s">
        <v>0</v>
      </c>
      <c r="D4" s="64" t="s">
        <v>37</v>
      </c>
    </row>
    <row r="5" spans="1:17" ht="15.75" x14ac:dyDescent="0.25">
      <c r="D5" s="64" t="s">
        <v>38</v>
      </c>
    </row>
    <row r="7" spans="1:17" ht="20.25" x14ac:dyDescent="0.3">
      <c r="A7" s="65" t="s">
        <v>1</v>
      </c>
      <c r="C7" s="89" t="s">
        <v>33</v>
      </c>
      <c r="D7" s="90"/>
      <c r="E7" s="66" t="s">
        <v>42</v>
      </c>
      <c r="F7" s="71" t="s">
        <v>39</v>
      </c>
      <c r="G7" s="71"/>
      <c r="H7" s="71"/>
      <c r="I7" s="65"/>
    </row>
    <row r="8" spans="1:17" ht="15" x14ac:dyDescent="0.25">
      <c r="D8" s="2"/>
      <c r="E8" s="2"/>
      <c r="F8" s="2"/>
    </row>
    <row r="9" spans="1:17" ht="15" x14ac:dyDescent="0.25">
      <c r="D9" s="2"/>
      <c r="E9" s="2"/>
      <c r="F9" s="2"/>
    </row>
    <row r="10" spans="1:17" ht="20.25" x14ac:dyDescent="0.3">
      <c r="A10" t="s">
        <v>2</v>
      </c>
      <c r="C10" s="34" t="s">
        <v>5</v>
      </c>
      <c r="D10" s="2" t="s">
        <v>2</v>
      </c>
    </row>
    <row r="12" spans="1:17" ht="18" x14ac:dyDescent="0.25">
      <c r="C12" s="35"/>
    </row>
    <row r="13" spans="1:17" ht="13.5" thickBot="1" x14ac:dyDescent="0.25"/>
    <row r="14" spans="1:17" ht="14.25" hidden="1" customHeight="1" x14ac:dyDescent="0.2"/>
    <row r="15" spans="1:17" ht="33" hidden="1" customHeight="1" x14ac:dyDescent="0.4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4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4">
      <c r="A17" s="5"/>
      <c r="B17" s="4"/>
      <c r="C17" s="47" t="s">
        <v>23</v>
      </c>
      <c r="D17" s="48"/>
      <c r="E17" s="48"/>
      <c r="F17" s="3"/>
    </row>
    <row r="18" spans="1:14" ht="33.75" x14ac:dyDescent="0.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8" x14ac:dyDescent="0.25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9" t="s">
        <v>18</v>
      </c>
      <c r="H19" s="79" t="s">
        <v>34</v>
      </c>
      <c r="I19" s="80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75" x14ac:dyDescent="0.3">
      <c r="A20" s="69">
        <v>1</v>
      </c>
      <c r="B20" s="81" t="s">
        <v>49</v>
      </c>
      <c r="C20" s="81" t="s">
        <v>52</v>
      </c>
      <c r="D20" s="81" t="str">
        <f t="shared" ref="D20:D21" si="0">B20&amp;"-"&amp;C20</f>
        <v>PL1646AS-990</v>
      </c>
      <c r="E20" s="81" t="s">
        <v>47</v>
      </c>
      <c r="F20" s="81" t="s">
        <v>48</v>
      </c>
      <c r="G20" s="81" t="s">
        <v>66</v>
      </c>
      <c r="H20" s="81">
        <v>99681245</v>
      </c>
      <c r="I20" s="81">
        <v>2448</v>
      </c>
      <c r="J20" s="82">
        <v>1767539</v>
      </c>
      <c r="K20" s="82" t="s">
        <v>54</v>
      </c>
      <c r="L20" s="83"/>
      <c r="M20" s="84"/>
      <c r="N20" s="85"/>
    </row>
    <row r="21" spans="1:14" ht="18.75" x14ac:dyDescent="0.3">
      <c r="A21" s="69">
        <v>2</v>
      </c>
      <c r="B21" s="81" t="s">
        <v>49</v>
      </c>
      <c r="C21" s="81" t="s">
        <v>52</v>
      </c>
      <c r="D21" s="81" t="str">
        <f>B21&amp;"-"&amp;C21</f>
        <v>PL1646AS-990</v>
      </c>
      <c r="E21" s="81" t="s">
        <v>46</v>
      </c>
      <c r="F21" s="81" t="s">
        <v>48</v>
      </c>
      <c r="G21" s="81" t="s">
        <v>66</v>
      </c>
      <c r="H21" s="81">
        <v>99681245</v>
      </c>
      <c r="I21" s="81">
        <v>360</v>
      </c>
      <c r="J21" s="82">
        <v>1767540</v>
      </c>
      <c r="K21" s="82" t="s">
        <v>55</v>
      </c>
      <c r="L21" s="83"/>
      <c r="M21" s="84"/>
      <c r="N21" s="85"/>
    </row>
    <row r="22" spans="1:14" ht="18" x14ac:dyDescent="0.25">
      <c r="A22" s="69">
        <v>19</v>
      </c>
      <c r="B22" s="81" t="s">
        <v>50</v>
      </c>
      <c r="C22" s="81" t="s">
        <v>53</v>
      </c>
      <c r="D22" s="81" t="str">
        <f t="shared" ref="D22:D27" si="1">B22&amp;"-"&amp;C22</f>
        <v>PM0466AS-42-172</v>
      </c>
      <c r="E22" s="81" t="s">
        <v>50</v>
      </c>
      <c r="F22" s="81" t="s">
        <v>48</v>
      </c>
      <c r="G22" s="81" t="s">
        <v>65</v>
      </c>
      <c r="H22" s="81">
        <v>99788161</v>
      </c>
      <c r="I22" s="81">
        <v>3248</v>
      </c>
      <c r="J22" s="81">
        <v>1767541</v>
      </c>
      <c r="K22" s="81" t="s">
        <v>56</v>
      </c>
      <c r="L22" s="74"/>
      <c r="M22" s="77"/>
      <c r="N22" s="70"/>
    </row>
    <row r="23" spans="1:14" ht="18" x14ac:dyDescent="0.25">
      <c r="A23" s="69">
        <v>20</v>
      </c>
      <c r="B23" s="81" t="s">
        <v>50</v>
      </c>
      <c r="C23" s="81" t="s">
        <v>53</v>
      </c>
      <c r="D23" s="81" t="str">
        <f t="shared" si="1"/>
        <v>PM0466AS-42-172</v>
      </c>
      <c r="E23" s="81" t="s">
        <v>50</v>
      </c>
      <c r="F23" s="81" t="s">
        <v>48</v>
      </c>
      <c r="G23" s="81" t="s">
        <v>65</v>
      </c>
      <c r="H23" s="81">
        <v>99788161</v>
      </c>
      <c r="I23" s="81">
        <v>1504</v>
      </c>
      <c r="J23" s="81">
        <v>1767542</v>
      </c>
      <c r="K23" s="81" t="s">
        <v>57</v>
      </c>
      <c r="L23" s="74"/>
      <c r="M23" s="77"/>
      <c r="N23" s="70"/>
    </row>
    <row r="24" spans="1:14" ht="18" x14ac:dyDescent="0.25">
      <c r="A24" s="69">
        <v>21</v>
      </c>
      <c r="B24" s="81" t="s">
        <v>50</v>
      </c>
      <c r="C24" s="81" t="s">
        <v>53</v>
      </c>
      <c r="D24" s="81" t="str">
        <f t="shared" si="1"/>
        <v>PM0466AS-42-172</v>
      </c>
      <c r="E24" s="81" t="s">
        <v>64</v>
      </c>
      <c r="F24" s="81" t="s">
        <v>48</v>
      </c>
      <c r="G24" s="81" t="s">
        <v>65</v>
      </c>
      <c r="H24" s="81">
        <v>99788161</v>
      </c>
      <c r="I24" s="81">
        <v>440</v>
      </c>
      <c r="J24" s="81">
        <v>1767543</v>
      </c>
      <c r="K24" s="81" t="s">
        <v>58</v>
      </c>
      <c r="L24" s="74"/>
      <c r="M24" s="77"/>
      <c r="N24" s="70"/>
    </row>
    <row r="25" spans="1:14" ht="18" x14ac:dyDescent="0.25">
      <c r="A25" s="69">
        <v>22</v>
      </c>
      <c r="B25" s="81" t="s">
        <v>51</v>
      </c>
      <c r="C25" s="81" t="s">
        <v>53</v>
      </c>
      <c r="D25" s="81" t="str">
        <f t="shared" si="1"/>
        <v>PM0467AS-42-172</v>
      </c>
      <c r="E25" s="81" t="s">
        <v>51</v>
      </c>
      <c r="F25" s="92" t="s">
        <v>48</v>
      </c>
      <c r="G25" s="81" t="s">
        <v>62</v>
      </c>
      <c r="H25" s="91">
        <v>99788174</v>
      </c>
      <c r="I25" s="81">
        <v>1152</v>
      </c>
      <c r="J25" s="81">
        <v>1767544</v>
      </c>
      <c r="K25" s="81" t="s">
        <v>59</v>
      </c>
      <c r="L25" s="74"/>
      <c r="M25" s="77"/>
      <c r="N25" s="70"/>
    </row>
    <row r="26" spans="1:14" ht="18" x14ac:dyDescent="0.25">
      <c r="A26" s="69">
        <v>23</v>
      </c>
      <c r="B26" s="81" t="s">
        <v>51</v>
      </c>
      <c r="C26" s="81" t="s">
        <v>53</v>
      </c>
      <c r="D26" s="81" t="str">
        <f t="shared" si="1"/>
        <v>PM0467AS-42-172</v>
      </c>
      <c r="E26" s="81" t="s">
        <v>51</v>
      </c>
      <c r="F26" s="81" t="s">
        <v>48</v>
      </c>
      <c r="G26" s="81" t="s">
        <v>62</v>
      </c>
      <c r="H26" s="91">
        <v>99788174</v>
      </c>
      <c r="I26" s="81">
        <v>360</v>
      </c>
      <c r="J26" s="81">
        <v>1767545</v>
      </c>
      <c r="K26" s="81" t="s">
        <v>60</v>
      </c>
      <c r="L26" s="74"/>
      <c r="M26" s="77"/>
      <c r="N26" s="70"/>
    </row>
    <row r="27" spans="1:14" ht="18" x14ac:dyDescent="0.25">
      <c r="A27" s="69">
        <v>24</v>
      </c>
      <c r="B27" s="81" t="s">
        <v>51</v>
      </c>
      <c r="C27" s="81" t="s">
        <v>53</v>
      </c>
      <c r="D27" s="81" t="str">
        <f t="shared" si="1"/>
        <v>PM0467AS-42-172</v>
      </c>
      <c r="E27" s="81" t="s">
        <v>63</v>
      </c>
      <c r="F27" s="81" t="s">
        <v>48</v>
      </c>
      <c r="G27" s="81" t="s">
        <v>62</v>
      </c>
      <c r="H27" s="81">
        <v>99788174</v>
      </c>
      <c r="I27" s="81">
        <v>440</v>
      </c>
      <c r="J27" s="81">
        <v>1767546</v>
      </c>
      <c r="K27" s="81" t="s">
        <v>61</v>
      </c>
      <c r="L27" s="74"/>
      <c r="M27" s="77"/>
      <c r="N27" s="70"/>
    </row>
    <row r="28" spans="1:14" x14ac:dyDescent="0.2">
      <c r="A28" s="69">
        <v>25</v>
      </c>
      <c r="B28" s="73"/>
      <c r="C28" s="73"/>
      <c r="D28" s="73"/>
      <c r="E28" s="73"/>
      <c r="F28" s="74"/>
      <c r="G28" s="73"/>
      <c r="H28" s="67"/>
      <c r="I28" s="73"/>
      <c r="J28" s="73"/>
      <c r="K28" s="73"/>
      <c r="L28" s="74"/>
      <c r="M28" s="77"/>
      <c r="N28" s="70"/>
    </row>
    <row r="29" spans="1:14" x14ac:dyDescent="0.2">
      <c r="A29" s="69">
        <v>26</v>
      </c>
      <c r="B29" s="73"/>
      <c r="C29" s="73"/>
      <c r="D29" s="73"/>
      <c r="E29" s="73"/>
      <c r="F29" s="74"/>
      <c r="G29" s="73"/>
      <c r="H29" s="67"/>
      <c r="I29" s="73"/>
      <c r="J29" s="73"/>
      <c r="K29" s="73"/>
      <c r="L29" s="74"/>
      <c r="M29" s="77"/>
      <c r="N29" s="70"/>
    </row>
    <row r="30" spans="1:14" x14ac:dyDescent="0.2">
      <c r="A30" s="69">
        <v>27</v>
      </c>
      <c r="B30" s="73"/>
      <c r="C30" s="73"/>
      <c r="D30" s="73"/>
      <c r="E30" s="73"/>
      <c r="F30" s="74"/>
      <c r="G30" s="73"/>
      <c r="H30" s="67"/>
      <c r="I30" s="73"/>
      <c r="J30" s="73"/>
      <c r="K30" s="73"/>
      <c r="L30" s="74"/>
      <c r="M30" s="77"/>
      <c r="N30" s="70"/>
    </row>
    <row r="31" spans="1:14" x14ac:dyDescent="0.2">
      <c r="A31" s="69">
        <v>28</v>
      </c>
      <c r="B31" s="73"/>
      <c r="C31" s="73"/>
      <c r="D31" s="73"/>
      <c r="E31" s="73"/>
      <c r="F31" s="74"/>
      <c r="G31" s="73"/>
      <c r="H31" s="67"/>
      <c r="I31" s="73"/>
      <c r="J31" s="73"/>
      <c r="K31" s="73"/>
      <c r="L31" s="74"/>
      <c r="M31" s="77"/>
      <c r="N31" s="70"/>
    </row>
    <row r="32" spans="1:14" x14ac:dyDescent="0.2">
      <c r="A32" s="69">
        <v>29</v>
      </c>
      <c r="B32" s="73"/>
      <c r="C32" s="73"/>
      <c r="D32" s="74"/>
      <c r="E32" s="74"/>
      <c r="F32" s="77"/>
      <c r="G32" s="77"/>
      <c r="H32" s="67"/>
      <c r="I32" s="73"/>
      <c r="J32" s="73"/>
      <c r="K32" s="73"/>
      <c r="L32" s="74"/>
      <c r="M32" s="77"/>
      <c r="N32" s="70"/>
    </row>
    <row r="33" spans="1:14" x14ac:dyDescent="0.2">
      <c r="A33" s="69">
        <v>30</v>
      </c>
      <c r="B33" s="73"/>
      <c r="C33" s="73"/>
      <c r="D33" s="74"/>
      <c r="E33" s="74"/>
      <c r="F33" s="77"/>
      <c r="G33" s="77"/>
      <c r="H33" s="67"/>
      <c r="I33" s="73"/>
      <c r="J33" s="73"/>
      <c r="K33" s="73"/>
      <c r="L33" s="74"/>
      <c r="M33" s="77"/>
      <c r="N33" s="70"/>
    </row>
    <row r="34" spans="1:14" x14ac:dyDescent="0.2">
      <c r="A34" s="69">
        <v>31</v>
      </c>
      <c r="B34" s="73"/>
      <c r="C34" s="73"/>
      <c r="D34" s="74"/>
      <c r="E34" s="74"/>
      <c r="F34" s="77"/>
      <c r="G34" s="77"/>
      <c r="H34" s="67"/>
      <c r="I34" s="73"/>
      <c r="J34" s="73"/>
      <c r="K34" s="73"/>
      <c r="L34" s="74"/>
      <c r="M34" s="77"/>
      <c r="N34" s="70"/>
    </row>
    <row r="35" spans="1:14" x14ac:dyDescent="0.2">
      <c r="A35" s="69">
        <v>32</v>
      </c>
      <c r="B35" s="73"/>
      <c r="C35" s="73"/>
      <c r="D35" s="74"/>
      <c r="E35" s="74"/>
      <c r="F35" s="77"/>
      <c r="G35" s="77"/>
      <c r="H35" s="67"/>
      <c r="I35" s="73"/>
      <c r="J35" s="73"/>
      <c r="K35" s="73"/>
      <c r="L35" s="74"/>
      <c r="M35" s="77"/>
      <c r="N35" s="70"/>
    </row>
    <row r="36" spans="1:14" x14ac:dyDescent="0.2">
      <c r="A36" s="69">
        <v>33</v>
      </c>
      <c r="B36" s="73"/>
      <c r="C36" s="73"/>
      <c r="D36" s="73"/>
      <c r="E36" s="73"/>
      <c r="F36" s="77"/>
      <c r="G36" s="77"/>
      <c r="H36" s="67"/>
      <c r="I36" s="73"/>
      <c r="J36" s="73"/>
      <c r="K36" s="73"/>
      <c r="L36" s="74"/>
      <c r="M36" s="77"/>
      <c r="N36" s="70"/>
    </row>
    <row r="37" spans="1:14" x14ac:dyDescent="0.2">
      <c r="A37" s="69">
        <v>34</v>
      </c>
      <c r="B37" s="73"/>
      <c r="C37" s="73"/>
      <c r="D37" s="73"/>
      <c r="E37" s="73"/>
      <c r="F37" s="77"/>
      <c r="G37" s="75"/>
      <c r="H37" s="67"/>
      <c r="I37" s="73"/>
      <c r="J37" s="73"/>
      <c r="K37" s="73"/>
      <c r="L37" s="74"/>
      <c r="M37" s="77"/>
      <c r="N37" s="70"/>
    </row>
    <row r="38" spans="1:14" x14ac:dyDescent="0.2">
      <c r="A38" s="69">
        <v>35</v>
      </c>
      <c r="B38" s="73"/>
      <c r="C38" s="73"/>
      <c r="D38" s="73"/>
      <c r="E38" s="73"/>
      <c r="F38" s="77"/>
      <c r="G38" s="75"/>
      <c r="H38" s="67"/>
      <c r="I38" s="73"/>
      <c r="J38" s="73"/>
      <c r="K38" s="73"/>
      <c r="L38" s="74"/>
      <c r="M38" s="77"/>
      <c r="N38" s="70"/>
    </row>
    <row r="39" spans="1:14" x14ac:dyDescent="0.2">
      <c r="A39" s="69">
        <v>36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x14ac:dyDescent="0.2">
      <c r="A40" s="69">
        <v>37</v>
      </c>
      <c r="B40" s="73"/>
      <c r="C40" s="73"/>
      <c r="D40" s="73"/>
      <c r="E40" s="73"/>
      <c r="F40" s="74"/>
      <c r="G40" s="73"/>
      <c r="H40" s="67"/>
      <c r="I40" s="73"/>
      <c r="J40" s="73"/>
      <c r="K40" s="73"/>
      <c r="L40" s="74"/>
      <c r="M40" s="77"/>
      <c r="N40" s="70"/>
    </row>
    <row r="41" spans="1:14" x14ac:dyDescent="0.2">
      <c r="A41" s="69">
        <v>38</v>
      </c>
      <c r="B41" s="73"/>
      <c r="C41" s="73"/>
      <c r="D41" s="73"/>
      <c r="E41" s="73"/>
      <c r="F41" s="74"/>
      <c r="G41" s="73"/>
      <c r="H41" s="67"/>
      <c r="I41" s="73"/>
      <c r="J41" s="73"/>
      <c r="K41" s="73"/>
      <c r="L41" s="74"/>
      <c r="M41" s="77"/>
      <c r="N41" s="70"/>
    </row>
    <row r="42" spans="1:14" x14ac:dyDescent="0.2">
      <c r="A42" s="69">
        <v>39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x14ac:dyDescent="0.2">
      <c r="A43" s="69">
        <v>40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x14ac:dyDescent="0.2">
      <c r="A44" s="69">
        <v>41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x14ac:dyDescent="0.2">
      <c r="A45" s="69">
        <v>42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x14ac:dyDescent="0.2">
      <c r="A46" s="69">
        <v>43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x14ac:dyDescent="0.2">
      <c r="A47" s="69">
        <v>44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x14ac:dyDescent="0.2">
      <c r="A48" s="69">
        <v>45</v>
      </c>
      <c r="B48" s="73"/>
      <c r="C48" s="73"/>
      <c r="D48" s="73"/>
      <c r="E48" s="73"/>
      <c r="F48" s="74"/>
      <c r="G48" s="73"/>
      <c r="H48" s="67"/>
      <c r="I48" s="73"/>
      <c r="J48" s="73"/>
      <c r="K48" s="73"/>
      <c r="L48" s="74"/>
      <c r="M48" s="77"/>
      <c r="N48" s="70"/>
    </row>
    <row r="49" spans="1:14" x14ac:dyDescent="0.2">
      <c r="A49" s="69">
        <v>46</v>
      </c>
      <c r="B49" s="73"/>
      <c r="C49" s="73"/>
      <c r="D49" s="73"/>
      <c r="E49" s="73"/>
      <c r="F49" s="74"/>
      <c r="G49" s="73"/>
      <c r="H49" s="67"/>
      <c r="I49" s="73"/>
      <c r="J49" s="73"/>
      <c r="K49" s="73"/>
      <c r="L49" s="74"/>
      <c r="M49" s="77"/>
      <c r="N49" s="70"/>
    </row>
    <row r="50" spans="1:14" x14ac:dyDescent="0.2">
      <c r="A50" s="69">
        <v>47</v>
      </c>
      <c r="B50" s="73"/>
      <c r="C50" s="73"/>
      <c r="D50" s="73"/>
      <c r="E50" s="73"/>
      <c r="F50" s="74"/>
      <c r="G50" s="73"/>
      <c r="H50" s="67"/>
      <c r="I50" s="73"/>
      <c r="J50" s="73"/>
      <c r="K50" s="73"/>
      <c r="L50" s="74"/>
      <c r="M50" s="77"/>
      <c r="N50" s="70"/>
    </row>
    <row r="51" spans="1:14" x14ac:dyDescent="0.2">
      <c r="A51" s="69">
        <v>48</v>
      </c>
      <c r="B51" s="73"/>
      <c r="C51" s="73"/>
      <c r="D51" s="73"/>
      <c r="E51" s="73"/>
      <c r="F51" s="74"/>
      <c r="G51" s="73"/>
      <c r="H51" s="67"/>
      <c r="I51" s="73"/>
      <c r="J51" s="73"/>
      <c r="K51" s="73"/>
      <c r="L51" s="74"/>
      <c r="M51" s="77"/>
      <c r="N51" s="70"/>
    </row>
    <row r="52" spans="1:14" x14ac:dyDescent="0.2">
      <c r="A52" s="69">
        <v>49</v>
      </c>
      <c r="B52" s="73"/>
      <c r="C52" s="73"/>
      <c r="D52" s="73"/>
      <c r="E52" s="73"/>
      <c r="F52" s="74"/>
      <c r="G52" s="73"/>
      <c r="H52" s="67"/>
      <c r="I52" s="73"/>
      <c r="J52" s="73"/>
      <c r="K52" s="73"/>
      <c r="L52" s="74"/>
      <c r="M52" s="77"/>
      <c r="N52" s="70"/>
    </row>
    <row r="53" spans="1:14" x14ac:dyDescent="0.2">
      <c r="A53" s="69">
        <v>50</v>
      </c>
      <c r="B53" s="73"/>
      <c r="C53" s="73"/>
      <c r="D53" s="73"/>
      <c r="E53" s="73"/>
      <c r="F53" s="74"/>
      <c r="G53" s="73"/>
      <c r="H53" s="67"/>
      <c r="I53" s="73"/>
      <c r="J53" s="73"/>
      <c r="K53" s="73"/>
      <c r="L53" s="74"/>
      <c r="M53" s="77"/>
      <c r="N53" s="70"/>
    </row>
    <row r="54" spans="1:14" x14ac:dyDescent="0.2">
      <c r="A54" s="69">
        <v>51</v>
      </c>
      <c r="B54" s="73"/>
      <c r="C54" s="73"/>
      <c r="D54" s="73"/>
      <c r="E54" s="73"/>
      <c r="F54" s="74"/>
      <c r="G54" s="73"/>
      <c r="H54" s="67"/>
      <c r="I54" s="73"/>
      <c r="J54" s="73"/>
      <c r="K54" s="73"/>
      <c r="L54" s="74"/>
      <c r="M54" s="77"/>
      <c r="N54" s="70"/>
    </row>
    <row r="55" spans="1:14" x14ac:dyDescent="0.2">
      <c r="A55" s="69">
        <v>52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x14ac:dyDescent="0.2">
      <c r="A56" s="69">
        <v>53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x14ac:dyDescent="0.2">
      <c r="A57" s="69">
        <v>54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x14ac:dyDescent="0.2">
      <c r="A58" s="69">
        <v>55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x14ac:dyDescent="0.2">
      <c r="A59" s="69">
        <v>56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x14ac:dyDescent="0.2">
      <c r="A60" s="69">
        <v>57</v>
      </c>
      <c r="B60" s="76"/>
      <c r="C60" s="76"/>
      <c r="D60" s="73"/>
      <c r="E60" s="73"/>
      <c r="F60" s="74"/>
      <c r="G60" s="73"/>
      <c r="H60" s="67"/>
      <c r="I60" s="73"/>
      <c r="J60" s="73"/>
      <c r="K60" s="73"/>
      <c r="L60" s="74"/>
      <c r="M60" s="67"/>
      <c r="N60" s="70"/>
    </row>
    <row r="61" spans="1:14" x14ac:dyDescent="0.2">
      <c r="A61" s="69">
        <v>58</v>
      </c>
      <c r="B61" s="76"/>
      <c r="C61" s="76"/>
      <c r="D61" s="73"/>
      <c r="E61" s="73"/>
      <c r="F61" s="74"/>
      <c r="G61" s="73"/>
      <c r="H61" s="67"/>
      <c r="I61" s="73"/>
      <c r="J61" s="73"/>
      <c r="K61" s="73"/>
      <c r="L61" s="74"/>
      <c r="M61" s="67"/>
      <c r="N61" s="70"/>
    </row>
    <row r="62" spans="1:14" x14ac:dyDescent="0.2">
      <c r="A62" s="69">
        <v>59</v>
      </c>
      <c r="B62" s="76"/>
      <c r="C62" s="76"/>
      <c r="D62" s="73"/>
      <c r="E62" s="73"/>
      <c r="F62" s="74"/>
      <c r="G62" s="73"/>
      <c r="H62" s="67"/>
      <c r="I62" s="73"/>
      <c r="J62" s="73"/>
      <c r="K62" s="73"/>
      <c r="L62" s="74"/>
      <c r="M62" s="67"/>
      <c r="N62" s="70"/>
    </row>
    <row r="63" spans="1:14" x14ac:dyDescent="0.2">
      <c r="A63" s="69">
        <v>60</v>
      </c>
      <c r="B63" s="76"/>
      <c r="C63" s="76"/>
      <c r="D63" s="73"/>
      <c r="E63" s="73"/>
      <c r="I63" s="73"/>
      <c r="J63" s="73"/>
      <c r="K63" s="73"/>
      <c r="L63" s="74"/>
      <c r="M63" s="67"/>
      <c r="N63" s="70"/>
    </row>
    <row r="64" spans="1:14" ht="15.75" customHeight="1" x14ac:dyDescent="0.2">
      <c r="B64" s="3"/>
      <c r="C64" s="37"/>
    </row>
    <row r="65" spans="1:7" ht="20.25" x14ac:dyDescent="0.3">
      <c r="A65" s="7" t="s">
        <v>4</v>
      </c>
      <c r="B65" s="3"/>
      <c r="C65" s="37"/>
    </row>
    <row r="66" spans="1:7" ht="15.75" x14ac:dyDescent="0.25">
      <c r="A66" s="6"/>
      <c r="B66" s="4"/>
      <c r="C66" s="38"/>
    </row>
    <row r="67" spans="1:7" ht="23.25" x14ac:dyDescent="0.35">
      <c r="A67" s="5" t="str">
        <f>D4</f>
        <v>PT# SEE BELOW</v>
      </c>
    </row>
    <row r="68" spans="1:7" x14ac:dyDescent="0.2">
      <c r="D68" s="3"/>
      <c r="F68" s="3"/>
      <c r="G68" s="3"/>
    </row>
    <row r="69" spans="1:7" ht="23.25" x14ac:dyDescent="0.35">
      <c r="B69" s="47"/>
      <c r="C69" s="37"/>
      <c r="E69" s="3"/>
    </row>
    <row r="70" spans="1:7" ht="23.25" x14ac:dyDescent="0.35">
      <c r="A70" s="47" t="s">
        <v>24</v>
      </c>
    </row>
    <row r="72" spans="1:7" ht="13.5" thickBot="1" x14ac:dyDescent="0.25"/>
    <row r="73" spans="1:7" ht="13.5" thickBot="1" x14ac:dyDescent="0.25">
      <c r="D73" s="42"/>
    </row>
    <row r="74" spans="1:7" ht="13.5" thickBot="1" x14ac:dyDescent="0.25">
      <c r="B74" s="42"/>
      <c r="C74" s="58"/>
      <c r="D74" s="59" t="s">
        <v>9</v>
      </c>
      <c r="E74" s="22"/>
    </row>
    <row r="75" spans="1:7" x14ac:dyDescent="0.2">
      <c r="A75" s="42"/>
      <c r="B75" s="59" t="s">
        <v>6</v>
      </c>
      <c r="C75" s="59" t="s">
        <v>7</v>
      </c>
      <c r="D75" s="62" t="str">
        <f>INDEX($A$20:$I$63,$A76,4)</f>
        <v>PL1646AS-990</v>
      </c>
      <c r="E75" s="57" t="s">
        <v>8</v>
      </c>
    </row>
    <row r="76" spans="1:7" ht="15.75" thickBot="1" x14ac:dyDescent="0.25">
      <c r="A76" s="49">
        <v>1</v>
      </c>
      <c r="B76" s="60" t="str">
        <f>INDEX($A$20:$I$63,$A76,2)</f>
        <v>PL1646AS</v>
      </c>
      <c r="C76" s="61" t="str">
        <f>INDEX($A$20:$I$63,$A76,3)</f>
        <v>990</v>
      </c>
      <c r="D76" s="17"/>
      <c r="E76" s="60">
        <f>INDEX($A$20:$I$63,$A76,9)</f>
        <v>2448</v>
      </c>
    </row>
    <row r="77" spans="1:7" ht="15.75" x14ac:dyDescent="0.25">
      <c r="A77" s="18"/>
      <c r="B77" s="16"/>
      <c r="C77" s="39"/>
      <c r="D77" s="24"/>
      <c r="E77" s="20"/>
    </row>
    <row r="78" spans="1:7" ht="15.75" x14ac:dyDescent="0.25">
      <c r="A78" s="19"/>
      <c r="B78" s="23" t="s">
        <v>25</v>
      </c>
      <c r="C78" s="29"/>
      <c r="D78" s="24"/>
      <c r="E78" s="9"/>
    </row>
    <row r="79" spans="1:7" ht="15.75" x14ac:dyDescent="0.25">
      <c r="A79" s="19"/>
      <c r="B79" s="23" t="s">
        <v>26</v>
      </c>
      <c r="C79" s="29"/>
      <c r="D79" s="25"/>
      <c r="E79" s="9"/>
    </row>
    <row r="80" spans="1:7" ht="15.75" x14ac:dyDescent="0.25">
      <c r="A80" s="19"/>
      <c r="B80" s="23" t="s">
        <v>27</v>
      </c>
      <c r="C80" s="29"/>
      <c r="D80" s="26"/>
      <c r="E80" s="9"/>
    </row>
    <row r="81" spans="1:5" ht="15.75" x14ac:dyDescent="0.25">
      <c r="A81" s="19"/>
      <c r="B81" s="23" t="s">
        <v>28</v>
      </c>
      <c r="C81" s="29"/>
      <c r="D81" s="28"/>
      <c r="E81" s="9"/>
    </row>
    <row r="82" spans="1:5" ht="15.75" x14ac:dyDescent="0.25">
      <c r="A82" s="19"/>
      <c r="B82" s="27" t="str">
        <f>$D$5</f>
        <v>PO#: SEE BELOW</v>
      </c>
      <c r="C82" s="40"/>
      <c r="D82" s="28"/>
      <c r="E82" s="9"/>
    </row>
    <row r="83" spans="1:5" ht="15.75" x14ac:dyDescent="0.25">
      <c r="A83" s="19"/>
      <c r="B83" s="44" t="str">
        <f>"SKU#: "&amp;INDEX($A$20:$I$63,A76,8)</f>
        <v>SKU#: 99681245</v>
      </c>
      <c r="D83" s="28"/>
      <c r="E83" s="9"/>
    </row>
    <row r="84" spans="1:5" ht="15.75" x14ac:dyDescent="0.25">
      <c r="A84" s="19"/>
      <c r="B84" s="46" t="e">
        <f>"DEPT#: "&amp;TEXT(#REF!,"000")</f>
        <v>#REF!</v>
      </c>
      <c r="C84" s="40"/>
      <c r="D84" s="28"/>
      <c r="E84" s="9"/>
    </row>
    <row r="85" spans="1:5" ht="15.75" x14ac:dyDescent="0.25">
      <c r="A85" s="19"/>
      <c r="B85" s="27" t="s">
        <v>11</v>
      </c>
      <c r="C85" s="29" t="str">
        <f>INDEX($A$20:$I$63,A76,5)&amp;"/"&amp;INDEX($A$20:$I$63,A76,6)</f>
        <v>PL1838BE/No Color</v>
      </c>
      <c r="D85" s="28"/>
      <c r="E85" s="9"/>
    </row>
    <row r="86" spans="1:5" ht="15.75" x14ac:dyDescent="0.25">
      <c r="A86" s="19"/>
      <c r="B86" s="27" t="s">
        <v>12</v>
      </c>
      <c r="C86" s="29" t="str">
        <f>INDEX($A$20:$H21,A76,7)</f>
        <v>WOMENS PLANTAR FASCIITIS</v>
      </c>
      <c r="D86" s="28"/>
      <c r="E86" s="9"/>
    </row>
    <row r="87" spans="1:5" ht="15.75" x14ac:dyDescent="0.25">
      <c r="A87" s="19"/>
      <c r="B87" s="27" t="s">
        <v>19</v>
      </c>
      <c r="C87" s="29"/>
      <c r="D87" s="28"/>
      <c r="E87" s="9"/>
    </row>
    <row r="88" spans="1:5" ht="16.5" thickBot="1" x14ac:dyDescent="0.3">
      <c r="A88" s="19"/>
      <c r="B88" s="27" t="s">
        <v>13</v>
      </c>
      <c r="C88" s="29"/>
      <c r="D88" s="11"/>
      <c r="E88" s="9"/>
    </row>
    <row r="89" spans="1:5" ht="13.5" thickBot="1" x14ac:dyDescent="0.25">
      <c r="A89" s="19"/>
      <c r="B89" s="10"/>
      <c r="C89" s="41"/>
      <c r="E89" s="12"/>
    </row>
    <row r="90" spans="1:5" ht="13.5" thickBot="1" x14ac:dyDescent="0.25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9525</xdr:rowOff>
                  </from>
                  <to>
                    <xdr:col>1</xdr:col>
                    <xdr:colOff>914400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828675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9525</xdr:rowOff>
                  </from>
                  <to>
                    <xdr:col>1</xdr:col>
                    <xdr:colOff>828675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9525</xdr:rowOff>
                  </from>
                  <to>
                    <xdr:col>1</xdr:col>
                    <xdr:colOff>676275</xdr:colOff>
                    <xdr:row>11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75" x14ac:dyDescent="0.2"/>
  <cols>
    <col min="1" max="1" width="22.28515625" customWidth="1"/>
    <col min="2" max="2" width="19.140625" customWidth="1"/>
    <col min="3" max="3" width="18.28515625" style="55" customWidth="1"/>
    <col min="4" max="4" width="29.140625" style="55" customWidth="1"/>
  </cols>
  <sheetData>
    <row r="1" spans="1:6" x14ac:dyDescent="0.2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">
      <c r="A8" s="50"/>
      <c r="B8" s="52"/>
      <c r="C8" s="54"/>
      <c r="D8" s="56"/>
    </row>
    <row r="9" spans="1:6" x14ac:dyDescent="0.2">
      <c r="A9" s="50"/>
      <c r="B9" s="52"/>
      <c r="C9" s="54"/>
      <c r="D9" s="56"/>
    </row>
    <row r="10" spans="1:6" x14ac:dyDescent="0.2">
      <c r="A10" s="50"/>
      <c r="B10" s="52"/>
      <c r="C10" s="54"/>
      <c r="D10" s="56"/>
    </row>
    <row r="11" spans="1:6" x14ac:dyDescent="0.2">
      <c r="A11" s="50"/>
      <c r="B11" s="52"/>
      <c r="C11" s="54"/>
      <c r="D11" s="56"/>
    </row>
    <row r="12" spans="1:6" x14ac:dyDescent="0.2">
      <c r="A12" s="50"/>
      <c r="B12" s="52"/>
      <c r="D12" s="56"/>
    </row>
    <row r="13" spans="1:6" x14ac:dyDescent="0.2">
      <c r="A13" s="50"/>
      <c r="B13" s="52"/>
      <c r="C13" s="54"/>
      <c r="D13" s="56"/>
    </row>
    <row r="14" spans="1:6" x14ac:dyDescent="0.2">
      <c r="A14" s="50"/>
      <c r="B14" s="52"/>
      <c r="C14" s="54"/>
      <c r="D14" s="56"/>
    </row>
    <row r="15" spans="1:6" x14ac:dyDescent="0.2">
      <c r="A15" s="50"/>
      <c r="B15" s="52"/>
      <c r="C15" s="54"/>
      <c r="D15" s="56"/>
    </row>
    <row r="16" spans="1:6" x14ac:dyDescent="0.2">
      <c r="A16" s="50"/>
      <c r="B16" s="52"/>
      <c r="C16" s="54"/>
      <c r="D16" s="52"/>
    </row>
    <row r="17" spans="1:4" x14ac:dyDescent="0.2">
      <c r="A17" s="50"/>
      <c r="B17" s="52"/>
      <c r="C17" s="54"/>
      <c r="D17" s="52"/>
    </row>
    <row r="20" spans="1:4" x14ac:dyDescent="0.2">
      <c r="B20" s="53"/>
    </row>
    <row r="21" spans="1:4" x14ac:dyDescent="0.2">
      <c r="B21" s="53"/>
    </row>
    <row r="22" spans="1:4" x14ac:dyDescent="0.2">
      <c r="B22" s="53"/>
    </row>
    <row r="23" spans="1:4" x14ac:dyDescent="0.2">
      <c r="B23" s="53"/>
    </row>
    <row r="24" spans="1:4" x14ac:dyDescent="0.2">
      <c r="B24" s="53"/>
    </row>
    <row r="25" spans="1:4" x14ac:dyDescent="0.2">
      <c r="B25" s="53"/>
    </row>
    <row r="26" spans="1:4" x14ac:dyDescent="0.2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2026-06-26T16:17:48Z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