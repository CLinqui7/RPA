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pend/"/>
    </mc:Choice>
  </mc:AlternateContent>
  <xr:revisionPtr revIDLastSave="234" documentId="8_{0EBB2938-9D16-473B-B306-699D55C5D276}" xr6:coauthVersionLast="47" xr6:coauthVersionMax="47" xr10:uidLastSave="{FEDACCE9-83ED-440A-B752-B250890A7A9E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C81" i="1"/>
  <c r="B72" i="1"/>
  <c r="C72" i="1"/>
  <c r="E72" i="1"/>
  <c r="B78" i="1"/>
  <c r="B79" i="1"/>
  <c r="B80" i="1"/>
  <c r="C82" i="1"/>
  <c r="A63" i="1"/>
  <c r="D71" i="1" l="1"/>
</calcChain>
</file>

<file path=xl/sharedStrings.xml><?xml version="1.0" encoding="utf-8"?>
<sst xmlns="http://schemas.openxmlformats.org/spreadsheetml/2006/main" count="77" uniqueCount="64">
  <si>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</si>
  <si>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</si>
  <si>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</si>
  <si>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</si>
  <si>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</si>
  <si>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</si>
  <si>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</si>
  <si>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</si>
  <si>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</si>
  <si>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</si>
  <si>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</si>
  <si>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</si>
  <si>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</si>
  <si>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</si>
  <si>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</si>
  <si>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</si>
  <si>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</si>
  <si>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</si>
  <si>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</si>
  <si>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</si>
  <si>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</si>
  <si>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</si>
  <si>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</si>
  <si>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</si>
  <si>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</si>
  <si>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</si>
  <si>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</si>
  <si>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</si>
  <si>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</si>
  <si>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</si>
  <si>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</si>
  <si>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</si>
  <si>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</si>
  <si>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</si>
  <si>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</si>
  <si>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</si>
  <si>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</si>
  <si>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</si>
  <si>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</si>
  <si>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</si>
  <si>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</si>
  <si>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</si>
  <si>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</si>
  <si>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</si>
  <si>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</si>
  <si>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</si>
  <si>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WMH427-42</t>
  </si>
  <si>
    <t>WMH437-42</t>
  </si>
  <si>
    <t>WMH461-42</t>
  </si>
  <si>
    <t>1BN</t>
  </si>
  <si>
    <t>SDL</t>
  </si>
  <si>
    <t>TAU</t>
  </si>
  <si>
    <t>1913252</t>
  </si>
  <si>
    <t>WMH427-42-1BN</t>
  </si>
  <si>
    <t>WMH427-42-SDL</t>
  </si>
  <si>
    <t>WMH437-42-1BN</t>
  </si>
  <si>
    <t>WMH461-42-TAU</t>
  </si>
  <si>
    <t>Bone</t>
  </si>
  <si>
    <t>Saddle</t>
  </si>
  <si>
    <t>Taupe</t>
  </si>
  <si>
    <t>BONE DALLAS BACKPACK WITH EMBRD TONAL FLORAL</t>
  </si>
  <si>
    <t>SADDLE DALLAS BACKPACK WITH EMBRD TONAL FLORAL</t>
  </si>
  <si>
    <t>BONE WILSHIRE RIDGE BACKPACK EMBRD FLORAL BUTTERFLY</t>
  </si>
  <si>
    <t>TAUPE VINEYARD HILL BACKPACK EMBRD FLORAL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</si>
</sst>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24</xdr:row>
      <xdr:rowOff>28575</xdr:rowOff>
    </xdr:from>
    <xdr:to>
      <xdr:col>0</xdr:col>
      <xdr:colOff>0</xdr:colOff>
      <xdr:row>66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24</xdr:row>
      <xdr:rowOff>28575</xdr:rowOff>
    </xdr:from>
    <xdr:to>
      <xdr:col>0</xdr:col>
      <xdr:colOff>0</xdr:colOff>
      <xdr:row>66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28575</xdr:rowOff>
    </xdr:from>
    <xdr:to>
      <xdr:col>0</xdr:col>
      <xdr:colOff>0</xdr:colOff>
      <xdr:row>64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66</xdr:row>
      <xdr:rowOff>123825</xdr:rowOff>
    </xdr:from>
    <xdr:to>
      <xdr:col>0</xdr:col>
      <xdr:colOff>1000125</xdr:colOff>
      <xdr:row>69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topLeftCell="A6" zoomScale="91" zoomScaleNormal="91" workbookViewId="0">
      <selection activeCell="K20" sqref="K2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74.8164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5.5" x14ac:dyDescent="0.35">
      <c r="A20" s="70">
        <v>21</v>
      </c>
      <c r="B20" s="80" t="s">
        <v>46</v>
      </c>
      <c r="C20" s="80" t="s">
        <v>49</v>
      </c>
      <c r="D20" s="80" t="str">
        <f t="shared" ref="D20:D23" si="0">B20&amp;"-"&amp;C20</f>
        <v>WMH427-42-1BN</v>
      </c>
      <c r="E20" s="80" t="s">
        <v>53</v>
      </c>
      <c r="F20" s="80" t="s">
        <v>57</v>
      </c>
      <c r="G20" s="80" t="s">
        <v>60</v>
      </c>
      <c r="H20" s="80">
        <v>429356</v>
      </c>
      <c r="I20" s="80">
        <v>186</v>
      </c>
      <c r="J20" s="80">
        <v>1762968</v>
      </c>
      <c r="K20" s="80">
        <v>1913252</v>
      </c>
      <c r="L20" s="75"/>
      <c r="M20" s="78"/>
      <c r="N20" s="71"/>
    </row>
    <row r="21" spans="1:14" ht="15.5" x14ac:dyDescent="0.35">
      <c r="A21" s="70">
        <v>22</v>
      </c>
      <c r="B21" s="80" t="s">
        <v>46</v>
      </c>
      <c r="C21" s="80" t="s">
        <v>50</v>
      </c>
      <c r="D21" s="80" t="str">
        <f t="shared" si="0"/>
        <v>WMH427-42-SDL</v>
      </c>
      <c r="E21" s="80" t="s">
        <v>54</v>
      </c>
      <c r="F21" s="80" t="s">
        <v>58</v>
      </c>
      <c r="G21" s="80" t="s">
        <v>61</v>
      </c>
      <c r="H21" s="80">
        <v>429371</v>
      </c>
      <c r="I21" s="80">
        <v>229</v>
      </c>
      <c r="J21" s="80">
        <v>1762968</v>
      </c>
      <c r="K21" s="80" t="s">
        <v>52</v>
      </c>
      <c r="L21" s="75"/>
      <c r="M21" s="78"/>
      <c r="N21" s="71"/>
    </row>
    <row r="22" spans="1:14" ht="15.5" x14ac:dyDescent="0.35">
      <c r="A22" s="70">
        <v>23</v>
      </c>
      <c r="B22" s="80" t="s">
        <v>47</v>
      </c>
      <c r="C22" s="80" t="s">
        <v>49</v>
      </c>
      <c r="D22" s="80" t="str">
        <f t="shared" si="0"/>
        <v>WMH437-42-1BN</v>
      </c>
      <c r="E22" s="80" t="s">
        <v>55</v>
      </c>
      <c r="F22" s="80" t="s">
        <v>57</v>
      </c>
      <c r="G22" s="80" t="s">
        <v>62</v>
      </c>
      <c r="H22" s="80">
        <v>429368</v>
      </c>
      <c r="I22" s="80">
        <v>210</v>
      </c>
      <c r="J22" s="80">
        <v>1762968</v>
      </c>
      <c r="K22" s="80" t="s">
        <v>52</v>
      </c>
      <c r="L22" s="75"/>
      <c r="M22" s="78"/>
      <c r="N22" s="71"/>
    </row>
    <row r="23" spans="1:14" ht="15.5" x14ac:dyDescent="0.35">
      <c r="A23" s="70">
        <v>24</v>
      </c>
      <c r="B23" s="80" t="s">
        <v>48</v>
      </c>
      <c r="C23" s="80" t="s">
        <v>51</v>
      </c>
      <c r="D23" s="80" t="str">
        <f t="shared" si="0"/>
        <v>WMH461-42-TAU</v>
      </c>
      <c r="E23" s="80" t="s">
        <v>56</v>
      </c>
      <c r="F23" s="80" t="s">
        <v>59</v>
      </c>
      <c r="G23" s="80" t="s">
        <v>63</v>
      </c>
      <c r="H23" s="80">
        <v>429383</v>
      </c>
      <c r="I23" s="80">
        <v>332</v>
      </c>
      <c r="J23" s="80">
        <v>1762968</v>
      </c>
      <c r="K23" s="80" t="s">
        <v>52</v>
      </c>
      <c r="L23" s="75"/>
      <c r="M23" s="78"/>
      <c r="N23" s="71"/>
    </row>
    <row r="24" spans="1:14" ht="13" x14ac:dyDescent="0.25">
      <c r="A24" s="70">
        <v>25</v>
      </c>
      <c r="B24" s="74"/>
      <c r="C24" s="74"/>
      <c r="D24" s="74"/>
      <c r="E24" s="74"/>
      <c r="F24" s="75"/>
      <c r="G24" s="74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26</v>
      </c>
      <c r="B25" s="74"/>
      <c r="C25" s="74"/>
      <c r="D25" s="74"/>
      <c r="E25" s="74"/>
      <c r="F25" s="75"/>
      <c r="G25" s="74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27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28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29</v>
      </c>
      <c r="B28" s="74"/>
      <c r="C28" s="74"/>
      <c r="D28" s="75"/>
      <c r="E28" s="75"/>
      <c r="F28" s="78"/>
      <c r="G28" s="78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30</v>
      </c>
      <c r="B29" s="74"/>
      <c r="C29" s="74"/>
      <c r="D29" s="75"/>
      <c r="E29" s="75"/>
      <c r="F29" s="78"/>
      <c r="G29" s="78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31</v>
      </c>
      <c r="B30" s="74"/>
      <c r="C30" s="74"/>
      <c r="D30" s="75"/>
      <c r="E30" s="75"/>
      <c r="F30" s="78"/>
      <c r="G30" s="78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32</v>
      </c>
      <c r="B31" s="74"/>
      <c r="C31" s="74"/>
      <c r="D31" s="75"/>
      <c r="E31" s="75"/>
      <c r="F31" s="78"/>
      <c r="G31" s="78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33</v>
      </c>
      <c r="B32" s="74"/>
      <c r="C32" s="74"/>
      <c r="D32" s="74"/>
      <c r="E32" s="74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34</v>
      </c>
      <c r="B33" s="74"/>
      <c r="C33" s="74"/>
      <c r="D33" s="74"/>
      <c r="E33" s="74"/>
      <c r="F33" s="78"/>
      <c r="G33" s="76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35</v>
      </c>
      <c r="B34" s="74"/>
      <c r="C34" s="74"/>
      <c r="D34" s="74"/>
      <c r="E34" s="74"/>
      <c r="F34" s="78"/>
      <c r="G34" s="76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40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41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42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43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49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50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51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52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53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54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55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57</v>
      </c>
      <c r="B56" s="77"/>
      <c r="C56" s="77"/>
      <c r="D56" s="74"/>
      <c r="E56" s="74"/>
      <c r="F56" s="75"/>
      <c r="G56" s="74"/>
      <c r="H56" s="67"/>
      <c r="I56" s="74"/>
      <c r="J56" s="74"/>
      <c r="K56" s="74"/>
      <c r="L56" s="75"/>
      <c r="M56" s="67"/>
      <c r="N56" s="71"/>
    </row>
    <row r="57" spans="1:14" ht="13" x14ac:dyDescent="0.25">
      <c r="A57" s="70">
        <v>58</v>
      </c>
      <c r="B57" s="77"/>
      <c r="C57" s="77"/>
      <c r="D57" s="74"/>
      <c r="E57" s="74"/>
      <c r="F57" s="75"/>
      <c r="G57" s="74"/>
      <c r="H57" s="67"/>
      <c r="I57" s="74"/>
      <c r="J57" s="74"/>
      <c r="K57" s="74"/>
      <c r="L57" s="75"/>
      <c r="M57" s="67"/>
      <c r="N57" s="71"/>
    </row>
    <row r="58" spans="1:14" ht="13" x14ac:dyDescent="0.25">
      <c r="A58" s="70">
        <v>59</v>
      </c>
      <c r="B58" s="77"/>
      <c r="C58" s="77"/>
      <c r="D58" s="74"/>
      <c r="E58" s="74"/>
      <c r="F58" s="75"/>
      <c r="G58" s="74"/>
      <c r="H58" s="67"/>
      <c r="I58" s="74"/>
      <c r="J58" s="74"/>
      <c r="K58" s="74"/>
      <c r="L58" s="75"/>
      <c r="M58" s="67"/>
      <c r="N58" s="71"/>
    </row>
    <row r="59" spans="1:14" ht="13" x14ac:dyDescent="0.25">
      <c r="A59" s="70">
        <v>60</v>
      </c>
      <c r="B59" s="77"/>
      <c r="C59" s="77"/>
      <c r="D59" s="74"/>
      <c r="E59" s="74"/>
      <c r="I59" s="74"/>
      <c r="J59" s="74"/>
      <c r="K59" s="74"/>
      <c r="L59" s="75"/>
      <c r="M59" s="67"/>
      <c r="N59" s="71"/>
    </row>
    <row r="60" spans="1:14" ht="15.75" customHeight="1" x14ac:dyDescent="0.25">
      <c r="B60" s="3"/>
      <c r="C60" s="37"/>
    </row>
    <row r="61" spans="1:14" ht="20" x14ac:dyDescent="0.4">
      <c r="A61" s="7" t="s">
        <v>4</v>
      </c>
      <c r="B61" s="3"/>
      <c r="C61" s="37"/>
    </row>
    <row r="62" spans="1:14" ht="15.5" x14ac:dyDescent="0.35">
      <c r="A62" s="6"/>
      <c r="B62" s="4"/>
      <c r="C62" s="38"/>
    </row>
    <row r="63" spans="1:14" ht="23" x14ac:dyDescent="0.5">
      <c r="A63" s="5" t="str">
        <f>D4</f>
        <v>PT# SEE BELOW</v>
      </c>
    </row>
    <row r="64" spans="1:14" x14ac:dyDescent="0.25">
      <c r="D64" s="3"/>
      <c r="F64" s="3"/>
      <c r="G64" s="3"/>
    </row>
    <row r="65" spans="1:5" ht="23" x14ac:dyDescent="0.5">
      <c r="B65" s="47"/>
      <c r="C65" s="37"/>
      <c r="E65" s="3"/>
    </row>
    <row r="66" spans="1:5" ht="23" x14ac:dyDescent="0.5">
      <c r="A66" s="47" t="s">
        <v>24</v>
      </c>
    </row>
    <row r="68" spans="1:5" ht="13" thickBot="1" x14ac:dyDescent="0.3"/>
    <row r="69" spans="1:5" ht="13" thickBot="1" x14ac:dyDescent="0.3">
      <c r="D69" s="42"/>
    </row>
    <row r="70" spans="1:5" ht="13.5" thickBot="1" x14ac:dyDescent="0.35">
      <c r="B70" s="42"/>
      <c r="C70" s="58"/>
      <c r="D70" s="59" t="s">
        <v>9</v>
      </c>
      <c r="E70" s="22"/>
    </row>
    <row r="71" spans="1:5" ht="13" x14ac:dyDescent="0.3">
      <c r="A71" s="42"/>
      <c r="B71" s="59" t="s">
        <v>6</v>
      </c>
      <c r="C71" s="59" t="s">
        <v>7</v>
      </c>
      <c r="D71" s="62" t="str">
        <f>INDEX($A$20:$I$59,$A72,4)</f>
        <v>WMH427-42-1BN</v>
      </c>
      <c r="E71" s="57" t="s">
        <v>8</v>
      </c>
    </row>
    <row r="72" spans="1:5" ht="16" thickBot="1" x14ac:dyDescent="0.4">
      <c r="A72" s="49">
        <v>1</v>
      </c>
      <c r="B72" s="60" t="str">
        <f>INDEX($A$20:$I$59,$A72,2)</f>
        <v>WMH427-42</v>
      </c>
      <c r="C72" s="61" t="str">
        <f>INDEX($A$20:$I$59,$A72,3)</f>
        <v>1BN</v>
      </c>
      <c r="D72" s="17"/>
      <c r="E72" s="60">
        <f>INDEX($A$20:$I$59,$A72,9)</f>
        <v>186</v>
      </c>
    </row>
    <row r="73" spans="1:5" ht="15.5" x14ac:dyDescent="0.35">
      <c r="A73" s="18"/>
      <c r="B73" s="16"/>
      <c r="C73" s="39"/>
      <c r="D73" s="24"/>
      <c r="E73" s="20"/>
    </row>
    <row r="74" spans="1:5" ht="15.5" x14ac:dyDescent="0.35">
      <c r="A74" s="19"/>
      <c r="B74" s="23" t="s">
        <v>25</v>
      </c>
      <c r="C74" s="29"/>
      <c r="D74" s="24"/>
      <c r="E74" s="9"/>
    </row>
    <row r="75" spans="1:5" ht="15.5" x14ac:dyDescent="0.35">
      <c r="A75" s="19"/>
      <c r="B75" s="23" t="s">
        <v>26</v>
      </c>
      <c r="C75" s="29"/>
      <c r="D75" s="25"/>
      <c r="E75" s="9"/>
    </row>
    <row r="76" spans="1:5" ht="15.5" x14ac:dyDescent="0.35">
      <c r="A76" s="19"/>
      <c r="B76" s="23" t="s">
        <v>27</v>
      </c>
      <c r="C76" s="29"/>
      <c r="D76" s="26"/>
      <c r="E76" s="9"/>
    </row>
    <row r="77" spans="1:5" ht="15.5" x14ac:dyDescent="0.35">
      <c r="A77" s="19"/>
      <c r="B77" s="23" t="s">
        <v>28</v>
      </c>
      <c r="C77" s="29"/>
      <c r="D77" s="28"/>
      <c r="E77" s="9"/>
    </row>
    <row r="78" spans="1:5" ht="15.5" x14ac:dyDescent="0.35">
      <c r="A78" s="19"/>
      <c r="B78" s="27" t="str">
        <f>$D$5</f>
        <v>PO#: SEE BELOW</v>
      </c>
      <c r="C78" s="40"/>
      <c r="D78" s="28"/>
      <c r="E78" s="9"/>
    </row>
    <row r="79" spans="1:5" ht="15.5" x14ac:dyDescent="0.35">
      <c r="A79" s="19"/>
      <c r="B79" s="44" t="str">
        <f>"SKU#: "&amp;INDEX($A$20:$I$59,A72,8)</f>
        <v>SKU#: 429356</v>
      </c>
      <c r="D79" s="28"/>
      <c r="E79" s="9"/>
    </row>
    <row r="80" spans="1:5" ht="15.5" x14ac:dyDescent="0.35">
      <c r="A80" s="19"/>
      <c r="B80" s="46" t="e">
        <f>"DEPT#: "&amp;TEXT(#REF!,"000")</f>
        <v>#REF!</v>
      </c>
      <c r="C80" s="40"/>
      <c r="D80" s="28"/>
      <c r="E80" s="9"/>
    </row>
    <row r="81" spans="1:5" ht="15.5" x14ac:dyDescent="0.35">
      <c r="A81" s="19"/>
      <c r="B81" s="27" t="s">
        <v>11</v>
      </c>
      <c r="C81" s="29" t="str">
        <f>INDEX($A$20:$I$59,A72,5)&amp;"/"&amp;INDEX($A$20:$I$59,A72,6)</f>
        <v>WMH427-42-1BN/Bone</v>
      </c>
      <c r="D81" s="28"/>
      <c r="E81" s="9"/>
    </row>
    <row r="82" spans="1:5" ht="15.5" x14ac:dyDescent="0.35">
      <c r="A82" s="19"/>
      <c r="B82" s="27" t="s">
        <v>12</v>
      </c>
      <c r="C82" s="29" t="e">
        <f>_xlfn.SINGLE(INDEX(#REF!,A72,7))</f>
        <v>#REF!</v>
      </c>
      <c r="D82" s="28"/>
      <c r="E82" s="9"/>
    </row>
    <row r="83" spans="1:5" ht="15.5" x14ac:dyDescent="0.35">
      <c r="A83" s="19"/>
      <c r="B83" s="27" t="s">
        <v>19</v>
      </c>
      <c r="C83" s="29"/>
      <c r="D83" s="28"/>
      <c r="E83" s="9"/>
    </row>
    <row r="84" spans="1:5" ht="16" thickBot="1" x14ac:dyDescent="0.4">
      <c r="A84" s="19"/>
      <c r="B84" s="27" t="s">
        <v>13</v>
      </c>
      <c r="C84" s="29"/>
      <c r="D84" s="11"/>
      <c r="E84" s="9"/>
    </row>
    <row r="85" spans="1:5" ht="13.5" thickBot="1" x14ac:dyDescent="0.35">
      <c r="A85" s="19"/>
      <c r="B85" s="10"/>
      <c r="C85" s="41"/>
      <c r="E85" s="12"/>
    </row>
    <row r="86" spans="1:5" ht="13" thickBot="1" x14ac:dyDescent="0.3">
      <c r="A8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2026-06-04T19:45:11Z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