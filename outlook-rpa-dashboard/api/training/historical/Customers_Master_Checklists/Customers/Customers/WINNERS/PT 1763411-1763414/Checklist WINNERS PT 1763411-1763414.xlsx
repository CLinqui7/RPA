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WINNERS/PT/"/>
    </mc:Choice>
  </mc:AlternateContent>
  <xr:revisionPtr revIDLastSave="112" documentId="13_ncr:1_{C50A42EF-DDAB-4CC5-9DF4-645D863259BD}" xr6:coauthVersionLast="47" xr6:coauthVersionMax="47" xr10:uidLastSave="{A5FB4D73-3E9C-4D24-AB98-37894AF548C8}"/>
  <bookViews>
    <workbookView xWindow="-28920" yWindow="-8505" windowWidth="29040" windowHeight="17520" tabRatio="599" xr2:uid="{00000000-000D-0000-FFFF-FFFF00000000}"/>
  </bookViews>
  <sheets>
    <sheet name="BREAKDOWN" sheetId="1" r:id="rId1"/>
  </sheets>
  <definedNames>
    <definedName name="_xlnm._FilterDatabase" localSheetId="0" hidden="1">BREAKDOWN!$A$1:$U$1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M4" i="1"/>
  <c r="K4" i="1"/>
  <c r="K5" i="1"/>
  <c r="K6" i="1"/>
  <c r="K7" i="1"/>
  <c r="K8" i="1"/>
  <c r="L7" i="1"/>
  <c r="J2" i="1"/>
  <c r="K2" i="1"/>
  <c r="K3" i="1"/>
  <c r="M5" i="1" l="1"/>
  <c r="N5" i="1" s="1"/>
  <c r="M6" i="1"/>
  <c r="N6" i="1" s="1"/>
  <c r="M7" i="1"/>
  <c r="N7" i="1" s="1"/>
  <c r="N4" i="1"/>
  <c r="M8" i="1"/>
  <c r="N8" i="1" s="1"/>
  <c r="L5" i="1"/>
  <c r="L4" i="1"/>
  <c r="L6" i="1"/>
  <c r="L8" i="1"/>
  <c r="L3" i="1"/>
  <c r="L2" i="1"/>
  <c r="M3" i="1"/>
  <c r="M2" i="1"/>
  <c r="N3" i="1" l="1"/>
  <c r="N2" i="1"/>
</calcChain>
</file>

<file path=xl/sharedStrings.xml><?xml version="1.0" encoding="utf-8"?>
<sst xmlns="http://schemas.openxmlformats.org/spreadsheetml/2006/main" count="84" uniqueCount="50">
  <si>
    <t>PICKTKT</t>
  </si>
  <si>
    <t>CTRL_NO</t>
  </si>
  <si>
    <t>ORDER_NO</t>
  </si>
  <si>
    <t>CUSTOMER</t>
  </si>
  <si>
    <t>START_DATE</t>
  </si>
  <si>
    <t>CANCEL_DATE</t>
  </si>
  <si>
    <t>STYLE</t>
  </si>
  <si>
    <t>COLOR</t>
  </si>
  <si>
    <t>PICK_QTY</t>
  </si>
  <si>
    <t>CARTONS</t>
  </si>
  <si>
    <t>LBS</t>
  </si>
  <si>
    <t>KG</t>
  </si>
  <si>
    <t>CUBE</t>
  </si>
  <si>
    <t>CBM</t>
  </si>
  <si>
    <t>SALES_PRICE</t>
  </si>
  <si>
    <t>COST BREAKDOWN</t>
  </si>
  <si>
    <t>COMPOSITION</t>
  </si>
  <si>
    <t>Country of Origin</t>
  </si>
  <si>
    <t>Fibre Content/Ingredients</t>
  </si>
  <si>
    <t>Care/Usage Instructions</t>
  </si>
  <si>
    <t>WINNERS</t>
  </si>
  <si>
    <t>CHINA</t>
  </si>
  <si>
    <t>DESC</t>
  </si>
  <si>
    <t>003</t>
  </si>
  <si>
    <t>40 793957</t>
  </si>
  <si>
    <t>40 793958</t>
  </si>
  <si>
    <t>40 793959</t>
  </si>
  <si>
    <t>40 793960</t>
  </si>
  <si>
    <t>EHH380-42</t>
  </si>
  <si>
    <t>EHH710-42</t>
  </si>
  <si>
    <t>EHH360-26</t>
  </si>
  <si>
    <t>EHH361-26</t>
  </si>
  <si>
    <t>EHH601-42</t>
  </si>
  <si>
    <t>EHH337-42</t>
  </si>
  <si>
    <t>EHH423R1-42</t>
  </si>
  <si>
    <t>033</t>
  </si>
  <si>
    <t>085</t>
  </si>
  <si>
    <t>BMT</t>
  </si>
  <si>
    <t>001</t>
  </si>
  <si>
    <t>977</t>
  </si>
  <si>
    <t>BK TATTOO Millie STCHL FRINGE</t>
  </si>
  <si>
    <t>RD Tav Petite Paris STCHL</t>
  </si>
  <si>
    <t>BK TATTOO Eve E/W TT</t>
  </si>
  <si>
    <t>RD Heloise Twil TT</t>
  </si>
  <si>
    <t>BK Heloise Twil TT</t>
  </si>
  <si>
    <t>WH Mina Kisslock SHLDR</t>
  </si>
  <si>
    <t>CHEETAH Ashley HB</t>
  </si>
  <si>
    <t>100% POLYESTER</t>
  </si>
  <si>
    <t>100% PU</t>
  </si>
  <si>
    <t>Use a soft, dry cloth or gentle brush to remove loose dirt from the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</si>
</sst>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Bs.S&quot;* #,##0.00_ ;_ &quot;Bs.S&quot;* \-#,##0.00_ ;_ &quot;Bs.S&quot;* &quot;-&quot;??_ ;_ @_ "/>
    <numFmt numFmtId="165" formatCode="mm/dd/yy"/>
    <numFmt numFmtId="166" formatCode="_([$$-409]* #,##0.00_);_([$$-409]* \(#,##0.00\);_([$$-409]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Aptos Display"/>
      <family val="2"/>
    </font>
    <font>
      <sz val="11"/>
      <name val="Aptos Display"/>
      <family val="2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1" fillId="0" borderId="0"/>
    <xf numFmtId="0" fontId="7" fillId="0" borderId="0"/>
    <xf numFmtId="0" fontId="1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4" fillId="2" borderId="2" xfId="1" applyFont="1" applyFill="1" applyBorder="1" applyAlignment="1">
      <alignment horizontal="center" vertical="center"/>
    </xf>
    <xf numFmtId="164" fontId="4" fillId="4" borderId="2" xfId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165" fontId="10" fillId="3" borderId="1" xfId="0" applyNumberFormat="1" applyFont="1" applyFill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166" fontId="10" fillId="3" borderId="1" xfId="1" applyNumberFormat="1" applyFont="1" applyFill="1" applyBorder="1" applyAlignment="1">
      <alignment horizontal="center" vertical="center"/>
    </xf>
    <xf numFmtId="166" fontId="11" fillId="3" borderId="1" xfId="1" applyNumberFormat="1" applyFont="1" applyFill="1" applyBorder="1" applyAlignment="1">
      <alignment horizontal="center" vertical="center"/>
    </xf>
    <xf numFmtId="0" fontId="12" fillId="0" borderId="1" xfId="0" applyFont="1" applyBorder="1"/>
  </cellXfs>
  <cellStyles count="9">
    <cellStyle name="Currency" xfId="1" builtinId="4"/>
    <cellStyle name="Currency 2" xfId="2" xr:uid="{00000000-0005-0000-0000-000001000000}"/>
    <cellStyle name="Currency 2 2" xfId="4" xr:uid="{71758F89-051B-450A-80FA-665ADAC8941C}"/>
    <cellStyle name="Currency 3" xfId="3" xr:uid="{6672487E-0B6C-4E37-8A67-31D3F63816F2}"/>
    <cellStyle name="Normal" xfId="0" builtinId="0"/>
    <cellStyle name="常规 2" xfId="5" xr:uid="{0312BEB7-EBE5-43D2-BACD-E9FC71DB7BEC}"/>
    <cellStyle name="常规 3" xfId="6" xr:uid="{B09371FB-BED5-4311-A95C-C0F94A6B4721}"/>
    <cellStyle name="常规 3 2" xfId="8" xr:uid="{E03EDC12-88C6-4FBA-BC01-46835D687441}"/>
    <cellStyle name="常规 4" xfId="7" xr:uid="{8DC2FD1C-42AE-4C1A-A7B3-AE1B9DDD2157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topLeftCell="O1" zoomScale="120" zoomScaleNormal="120" workbookViewId="0">
      <selection activeCell="S26" sqref="S26"/>
    </sheetView>
  </sheetViews>
  <sheetFormatPr defaultColWidth="9.1796875" defaultRowHeight="14.5"/>
  <cols>
    <col min="1" max="1" width="12.453125" style="1" customWidth="1"/>
    <col min="2" max="2" width="9.453125" style="1" customWidth="1"/>
    <col min="3" max="3" width="11.1796875" style="1" customWidth="1"/>
    <col min="4" max="4" width="11.453125" style="1" customWidth="1"/>
    <col min="5" max="5" width="13.1796875" style="1" customWidth="1"/>
    <col min="6" max="6" width="14.453125" style="1" customWidth="1"/>
    <col min="7" max="7" width="16" style="2" bestFit="1" customWidth="1"/>
    <col min="8" max="8" width="7.453125" style="1" customWidth="1"/>
    <col min="9" max="9" width="6.90625" style="1" customWidth="1"/>
    <col min="10" max="10" width="6.26953125" style="1" customWidth="1"/>
    <col min="11" max="11" width="6.54296875" style="1" customWidth="1"/>
    <col min="12" max="12" width="12" style="1" customWidth="1"/>
    <col min="13" max="13" width="5.7265625" style="1" customWidth="1"/>
    <col min="14" max="14" width="8" style="1" customWidth="1"/>
    <col min="15" max="15" width="43.26953125" style="1" customWidth="1"/>
    <col min="16" max="16" width="15" style="1" customWidth="1"/>
    <col min="17" max="17" width="20" style="1" customWidth="1"/>
    <col min="18" max="18" width="24.26953125" style="1" customWidth="1"/>
    <col min="19" max="19" width="69.7265625" style="1" customWidth="1"/>
    <col min="20" max="20" width="40.7265625" style="2" customWidth="1"/>
    <col min="21" max="21" width="21.453125" style="2" bestFit="1" customWidth="1"/>
    <col min="22" max="16384" width="9.1796875" style="3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22</v>
      </c>
      <c r="P1" s="6" t="s">
        <v>14</v>
      </c>
      <c r="Q1" s="6" t="s">
        <v>17</v>
      </c>
      <c r="R1" s="7" t="s">
        <v>18</v>
      </c>
      <c r="S1" s="6" t="s">
        <v>19</v>
      </c>
      <c r="T1" s="5" t="s">
        <v>16</v>
      </c>
      <c r="U1" s="5" t="s">
        <v>15</v>
      </c>
    </row>
    <row r="2" spans="1:21" s="8" customFormat="1" ht="16">
      <c r="A2" s="9">
        <v>1763411</v>
      </c>
      <c r="B2" s="8">
        <v>3797557</v>
      </c>
      <c r="C2" s="8" t="s">
        <v>24</v>
      </c>
      <c r="D2" s="8" t="s">
        <v>20</v>
      </c>
      <c r="E2" s="10">
        <v>46181</v>
      </c>
      <c r="F2" s="11">
        <v>46188</v>
      </c>
      <c r="G2" s="12" t="s">
        <v>28</v>
      </c>
      <c r="H2" s="8" t="s">
        <v>35</v>
      </c>
      <c r="I2" s="8">
        <v>300</v>
      </c>
      <c r="J2" s="8">
        <f t="shared" ref="J2:J8" si="0">+ROUNDUP((I2/48),0)</f>
        <v>7</v>
      </c>
      <c r="K2" s="8">
        <f t="shared" ref="K2:K8" si="1">I2*0.56</f>
        <v>168.00000000000003</v>
      </c>
      <c r="L2" s="8">
        <f t="shared" ref="L2:L8" si="2">K2/2.20456</f>
        <v>76.205682766629181</v>
      </c>
      <c r="M2" s="8">
        <f t="shared" ref="M2:M8" si="3">J2*3</f>
        <v>21</v>
      </c>
      <c r="N2" s="8">
        <f t="shared" ref="N2:N8" si="4">M2*0.02832</f>
        <v>0.59472000000000003</v>
      </c>
      <c r="O2" s="9" t="s">
        <v>40</v>
      </c>
      <c r="P2" s="13">
        <v>15</v>
      </c>
      <c r="Q2" s="8" t="s">
        <v>21</v>
      </c>
      <c r="R2" s="8" t="s">
        <v>48</v>
      </c>
      <c r="S2" s="15" t="s">
        <v>49</v>
      </c>
      <c r="T2" s="8" t="s">
        <v>48</v>
      </c>
      <c r="U2" s="13">
        <v>15</v>
      </c>
    </row>
    <row r="3" spans="1:21" s="8" customFormat="1" ht="16">
      <c r="A3" s="9">
        <v>1763411</v>
      </c>
      <c r="B3" s="8">
        <v>3797557</v>
      </c>
      <c r="C3" s="8" t="s">
        <v>24</v>
      </c>
      <c r="D3" s="8" t="s">
        <v>20</v>
      </c>
      <c r="E3" s="10">
        <v>46181</v>
      </c>
      <c r="F3" s="11">
        <v>46188</v>
      </c>
      <c r="G3" s="12" t="s">
        <v>29</v>
      </c>
      <c r="H3" s="8" t="s">
        <v>23</v>
      </c>
      <c r="I3" s="8">
        <v>300</v>
      </c>
      <c r="J3" s="8">
        <f t="shared" si="0"/>
        <v>7</v>
      </c>
      <c r="K3" s="8">
        <f t="shared" si="1"/>
        <v>168.00000000000003</v>
      </c>
      <c r="L3" s="8">
        <f t="shared" si="2"/>
        <v>76.205682766629181</v>
      </c>
      <c r="M3" s="8">
        <f t="shared" si="3"/>
        <v>21</v>
      </c>
      <c r="N3" s="8">
        <f t="shared" si="4"/>
        <v>0.59472000000000003</v>
      </c>
      <c r="O3" s="9" t="s">
        <v>41</v>
      </c>
      <c r="P3" s="13">
        <v>16</v>
      </c>
      <c r="Q3" s="8" t="s">
        <v>21</v>
      </c>
      <c r="R3" s="8" t="s">
        <v>48</v>
      </c>
      <c r="S3" s="15" t="s">
        <v>49</v>
      </c>
      <c r="T3" s="8" t="s">
        <v>48</v>
      </c>
      <c r="U3" s="13">
        <v>16</v>
      </c>
    </row>
    <row r="4" spans="1:21" s="8" customFormat="1" ht="16">
      <c r="A4" s="8">
        <v>1763412</v>
      </c>
      <c r="B4" s="8">
        <v>3797558</v>
      </c>
      <c r="C4" s="8" t="s">
        <v>25</v>
      </c>
      <c r="D4" s="8" t="s">
        <v>20</v>
      </c>
      <c r="E4" s="10">
        <v>46181</v>
      </c>
      <c r="F4" s="11">
        <v>46188</v>
      </c>
      <c r="G4" s="12" t="s">
        <v>30</v>
      </c>
      <c r="H4" s="8" t="s">
        <v>36</v>
      </c>
      <c r="I4" s="8">
        <v>400</v>
      </c>
      <c r="J4" s="8">
        <f t="shared" si="0"/>
        <v>9</v>
      </c>
      <c r="K4" s="8">
        <f t="shared" si="1"/>
        <v>224.00000000000003</v>
      </c>
      <c r="L4" s="8">
        <f t="shared" si="2"/>
        <v>101.60757702217225</v>
      </c>
      <c r="M4" s="8">
        <f t="shared" si="3"/>
        <v>27</v>
      </c>
      <c r="N4" s="8">
        <f t="shared" si="4"/>
        <v>0.76463999999999999</v>
      </c>
      <c r="O4" s="9" t="s">
        <v>43</v>
      </c>
      <c r="P4" s="13">
        <v>11.5</v>
      </c>
      <c r="Q4" s="8" t="s">
        <v>21</v>
      </c>
      <c r="R4" s="8" t="s">
        <v>47</v>
      </c>
      <c r="S4" s="15" t="s">
        <v>49</v>
      </c>
      <c r="T4" s="12" t="s">
        <v>47</v>
      </c>
      <c r="U4" s="14">
        <v>11.5</v>
      </c>
    </row>
    <row r="5" spans="1:21" s="8" customFormat="1" ht="16">
      <c r="A5" s="8">
        <v>1763412</v>
      </c>
      <c r="B5" s="8">
        <v>3797558</v>
      </c>
      <c r="C5" s="8" t="s">
        <v>25</v>
      </c>
      <c r="D5" s="8" t="s">
        <v>20</v>
      </c>
      <c r="E5" s="10">
        <v>46181</v>
      </c>
      <c r="F5" s="11">
        <v>46188</v>
      </c>
      <c r="G5" s="12" t="s">
        <v>31</v>
      </c>
      <c r="H5" s="8" t="s">
        <v>37</v>
      </c>
      <c r="I5" s="8">
        <v>400</v>
      </c>
      <c r="J5" s="8">
        <f t="shared" si="0"/>
        <v>9</v>
      </c>
      <c r="K5" s="8">
        <f t="shared" si="1"/>
        <v>224.00000000000003</v>
      </c>
      <c r="L5" s="8">
        <f t="shared" si="2"/>
        <v>101.60757702217225</v>
      </c>
      <c r="M5" s="8">
        <f t="shared" si="3"/>
        <v>27</v>
      </c>
      <c r="N5" s="8">
        <f t="shared" si="4"/>
        <v>0.76463999999999999</v>
      </c>
      <c r="O5" s="9" t="s">
        <v>44</v>
      </c>
      <c r="P5" s="13">
        <v>11.5</v>
      </c>
      <c r="Q5" s="8" t="s">
        <v>21</v>
      </c>
      <c r="R5" s="8" t="s">
        <v>47</v>
      </c>
      <c r="S5" s="15" t="s">
        <v>49</v>
      </c>
      <c r="T5" s="12" t="s">
        <v>47</v>
      </c>
      <c r="U5" s="14">
        <v>11.5</v>
      </c>
    </row>
    <row r="6" spans="1:21" s="8" customFormat="1" ht="16">
      <c r="A6" s="8">
        <v>1763412</v>
      </c>
      <c r="B6" s="8">
        <v>3797558</v>
      </c>
      <c r="C6" s="8" t="s">
        <v>25</v>
      </c>
      <c r="D6" s="8" t="s">
        <v>20</v>
      </c>
      <c r="E6" s="10">
        <v>46181</v>
      </c>
      <c r="F6" s="11">
        <v>46188</v>
      </c>
      <c r="G6" s="12" t="s">
        <v>32</v>
      </c>
      <c r="H6" s="8" t="s">
        <v>23</v>
      </c>
      <c r="I6" s="8">
        <v>400</v>
      </c>
      <c r="J6" s="8">
        <f t="shared" si="0"/>
        <v>9</v>
      </c>
      <c r="K6" s="8">
        <f t="shared" si="1"/>
        <v>224.00000000000003</v>
      </c>
      <c r="L6" s="8">
        <f t="shared" si="2"/>
        <v>101.60757702217225</v>
      </c>
      <c r="M6" s="8">
        <f t="shared" si="3"/>
        <v>27</v>
      </c>
      <c r="N6" s="8">
        <f t="shared" si="4"/>
        <v>0.76463999999999999</v>
      </c>
      <c r="O6" s="9" t="s">
        <v>42</v>
      </c>
      <c r="P6" s="13">
        <v>16</v>
      </c>
      <c r="Q6" s="8" t="s">
        <v>21</v>
      </c>
      <c r="R6" s="8" t="s">
        <v>47</v>
      </c>
      <c r="S6" s="15" t="s">
        <v>49</v>
      </c>
      <c r="T6" s="12" t="s">
        <v>47</v>
      </c>
      <c r="U6" s="14">
        <v>16</v>
      </c>
    </row>
    <row r="7" spans="1:21" s="8" customFormat="1" ht="16">
      <c r="A7" s="8">
        <v>1763413</v>
      </c>
      <c r="B7" s="8">
        <v>3797559</v>
      </c>
      <c r="C7" s="8" t="s">
        <v>26</v>
      </c>
      <c r="D7" s="8" t="s">
        <v>20</v>
      </c>
      <c r="E7" s="10">
        <v>46181</v>
      </c>
      <c r="F7" s="11">
        <v>46188</v>
      </c>
      <c r="G7" s="12" t="s">
        <v>33</v>
      </c>
      <c r="H7" s="8" t="s">
        <v>38</v>
      </c>
      <c r="I7" s="8">
        <v>400</v>
      </c>
      <c r="J7" s="8">
        <f t="shared" si="0"/>
        <v>9</v>
      </c>
      <c r="K7" s="8">
        <f t="shared" si="1"/>
        <v>224.00000000000003</v>
      </c>
      <c r="L7" s="8">
        <f t="shared" si="2"/>
        <v>101.60757702217225</v>
      </c>
      <c r="M7" s="8">
        <f t="shared" si="3"/>
        <v>27</v>
      </c>
      <c r="N7" s="8">
        <f t="shared" si="4"/>
        <v>0.76463999999999999</v>
      </c>
      <c r="O7" s="9" t="s">
        <v>45</v>
      </c>
      <c r="P7" s="13">
        <v>12.5</v>
      </c>
      <c r="Q7" s="8" t="s">
        <v>21</v>
      </c>
      <c r="R7" s="8" t="s">
        <v>48</v>
      </c>
      <c r="S7" s="15" t="s">
        <v>49</v>
      </c>
      <c r="T7" s="12" t="s">
        <v>48</v>
      </c>
      <c r="U7" s="14">
        <v>12.5</v>
      </c>
    </row>
    <row r="8" spans="1:21" s="8" customFormat="1" ht="16">
      <c r="A8" s="8">
        <v>1763414</v>
      </c>
      <c r="B8" s="8">
        <v>3797560</v>
      </c>
      <c r="C8" s="8" t="s">
        <v>27</v>
      </c>
      <c r="D8" s="8" t="s">
        <v>20</v>
      </c>
      <c r="E8" s="10">
        <v>46181</v>
      </c>
      <c r="F8" s="11">
        <v>46188</v>
      </c>
      <c r="G8" s="12" t="s">
        <v>34</v>
      </c>
      <c r="H8" s="8" t="s">
        <v>39</v>
      </c>
      <c r="I8" s="8">
        <v>400</v>
      </c>
      <c r="J8" s="8">
        <f t="shared" si="0"/>
        <v>9</v>
      </c>
      <c r="K8" s="8">
        <f t="shared" si="1"/>
        <v>224.00000000000003</v>
      </c>
      <c r="L8" s="8">
        <f t="shared" si="2"/>
        <v>101.60757702217225</v>
      </c>
      <c r="M8" s="8">
        <f t="shared" si="3"/>
        <v>27</v>
      </c>
      <c r="N8" s="8">
        <f t="shared" si="4"/>
        <v>0.76463999999999999</v>
      </c>
      <c r="O8" s="9" t="s">
        <v>46</v>
      </c>
      <c r="P8" s="13">
        <v>11</v>
      </c>
      <c r="Q8" s="8" t="s">
        <v>21</v>
      </c>
      <c r="R8" s="8" t="s">
        <v>48</v>
      </c>
      <c r="S8" s="15" t="s">
        <v>49</v>
      </c>
      <c r="T8" s="12" t="s">
        <v>48</v>
      </c>
      <c r="U8" s="14">
        <v>11</v>
      </c>
    </row>
  </sheetData>
  <autoFilter ref="A1:U1" xr:uid="{00000000-0001-0000-0000-000000000000}"/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Karina Zelaya</cp:lastModifiedBy>
  <dcterms:created xsi:type="dcterms:W3CDTF">2023-03-08T18:18:00Z</dcterms:created>
  <dcterms:modified xsi:type="dcterms:W3CDTF">2026-06-08T16:31:47Z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59811429429445ECB0096C1D279933D3_12</vt:lpwstr>
  </property>
  <property fmtid="{D5CDD505-2E9C-101B-9397-08002B2CF9AE}" pid="3" name="KSOProductBuildVer">
    <vt:lpwstr>2052-12.1.0.17827</vt:lpwstr>
  </property>
</Properties>
</file>